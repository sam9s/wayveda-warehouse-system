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dger" sheetId="2" state="visible" r:id="rId4"/>
    <sheet name="Dispatch Analysis" sheetId="3" state="visible" r:id="rId5"/>
    <sheet name="RTO Analysis" sheetId="4" state="visible" r:id="rId6"/>
    <sheet name="Inward Analysis" sheetId="5" state="visible" r:id="rId7"/>
    <sheet name="Daily Dispatch" sheetId="6" state="visible" r:id="rId8"/>
    <sheet name="RTO Log" sheetId="7" state="visible" r:id="rId9"/>
    <sheet name="Stock In" sheetId="8" state="visible" r:id="rId10"/>
    <sheet name="Form Respons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<sst xmlns="http://schemas.openxmlformats.org/spreadsheetml/2006/main" count="327" uniqueCount="133">
  <si>
    <t xml:space="preserve">✦ MeDa Partners  |  Dream · Deliver · Dominate                                    Wayveda Inventory Dashboard  |  Warehouse Ops</t>
  </si>
  <si>
    <t xml:space="preserve">⚠  Systems by MeDa Partners Pvt Ltd (www.meda.partners)  |  Brand: Wayveda®  |  Confidential &amp; Proprietary</t>
  </si>
  <si>
    <t xml:space="preserve">Stock Health</t>
  </si>
  <si>
    <t xml:space="preserve">Monthly Dispatch</t>
  </si>
  <si>
    <t xml:space="preserve">Reorder</t>
  </si>
  <si>
    <t xml:space="preserve">Status</t>
  </si>
  <si>
    <t xml:space="preserve">Sr.</t>
  </si>
  <si>
    <t xml:space="preserve">Product Name</t>
  </si>
  <si>
    <t xml:space="preserve">★ Balance
(Current Stock)</t>
  </si>
  <si>
    <t xml:space="preserve">Last Month
Dispatch</t>
  </si>
  <si>
    <t xml:space="preserve">This Month
(So Far)</t>
  </si>
  <si>
    <t xml:space="preserve">Order Qty
(Max − Balance)</t>
  </si>
  <si>
    <t xml:space="preserve">Latest Entry
(Date + Qty)</t>
  </si>
  <si>
    <t xml:space="preserve">Alert</t>
  </si>
  <si>
    <t xml:space="preserve">Bum Plumping Cream - 50g</t>
  </si>
  <si>
    <t xml:space="preserve">Intimate Whitening Roll-On - 50ml</t>
  </si>
  <si>
    <t xml:space="preserve">Chocolate Power Roll-On</t>
  </si>
  <si>
    <t xml:space="preserve">Strawberry Power Roll-On</t>
  </si>
  <si>
    <t xml:space="preserve">Bhasam Power Capsule</t>
  </si>
  <si>
    <t xml:space="preserve">Power Shots Sachet</t>
  </si>
  <si>
    <t xml:space="preserve">Hairfall Control Serum - 50ml</t>
  </si>
  <si>
    <t xml:space="preserve">Hairfall Control Shampoo - 200ml</t>
  </si>
  <si>
    <t xml:space="preserve">Hairfall Control Tablets - 60N</t>
  </si>
  <si>
    <t xml:space="preserve">Anti-Hairfall Kit</t>
  </si>
  <si>
    <t xml:space="preserve">Power Roll Oil Unflavoured</t>
  </si>
  <si>
    <t xml:space="preserve">Power Shot Oil</t>
  </si>
  <si>
    <t xml:space="preserve">Last Updated by Vendor:  —  (auto-updates when Google Form is submitted)</t>
  </si>
  <si>
    <t xml:space="preserve">© 2026 MeDa Partners Pvt Ltd  ·  Systems by MeDa Partners  ·  Brand: Wayveda®  ·  www.meda.partners  ·  Dream. Deliver. Dominate.</t>
  </si>
  <si>
    <t xml:space="preserve">✦ MeDa Partners  |  Dream · Deliver · Dominate                                    Wayveda Inventory Ledger  |  Warehouse Ops — Full Detail</t>
  </si>
  <si>
    <t xml:space="preserve">Section 1 — Stock Movement</t>
  </si>
  <si>
    <t xml:space="preserve">Section 2 — Targets &amp; Health</t>
  </si>
  <si>
    <t xml:space="preserve">Section 3 — Monthly Dispatch</t>
  </si>
  <si>
    <t xml:space="preserve">Section 4 — RTO Quality</t>
  </si>
  <si>
    <t xml:space="preserve">Opening Stock
⚠ Fill Once</t>
  </si>
  <si>
    <t xml:space="preserve">Total Stock
Received</t>
  </si>
  <si>
    <t xml:space="preserve">Total
Dispatched</t>
  </si>
  <si>
    <t xml:space="preserve">RTO Right
(Recovered +)</t>
  </si>
  <si>
    <t xml:space="preserve">RTO Wrong+Fake
(Lost −)</t>
  </si>
  <si>
    <t xml:space="preserve">★ BALANCE
(Current)</t>
  </si>
  <si>
    <t xml:space="preserve">Max Level
★ Fill This</t>
  </si>
  <si>
    <t xml:space="preserve">Stock %</t>
  </si>
  <si>
    <t xml:space="preserve">RTO Rate
%</t>
  </si>
  <si>
    <t xml:space="preserve">Warehouse
Fault %</t>
  </si>
  <si>
    <t xml:space="preserve">Recoverable
Units</t>
  </si>
  <si>
    <t xml:space="preserve">Order Qty
(Max−Balance)</t>
  </si>
  <si>
    <t xml:space="preserve">Reorder
Alert</t>
  </si>
  <si>
    <t xml:space="preserve">📝  Col C (Opening Stock) — sheet setup ke din ek baar manually bharo, phir kabhi nahi.  Col I (Max Level) — aap set karo, kabhi bhi update kar sakte ho.  Baaki sab auto-calculate.</t>
  </si>
  <si>
    <t xml:space="preserve">✦ MeDa Partners  |  Dream · Deliver · Dominate                                    Wayveda — Dispatch Analysis  |  Warehouse Ops</t>
  </si>
  <si>
    <t xml:space="preserve">Daily Summary</t>
  </si>
  <si>
    <t xml:space="preserve">Weekly Summary</t>
  </si>
  <si>
    <t xml:space="preserve">Monthly Summary</t>
  </si>
  <si>
    <t xml:space="preserve">Date / Period</t>
  </si>
  <si>
    <t xml:space="preserve">Bum Plumping Cre</t>
  </si>
  <si>
    <t xml:space="preserve">Intimate Whiteni</t>
  </si>
  <si>
    <t xml:space="preserve">Chocolate Power </t>
  </si>
  <si>
    <t xml:space="preserve">Strawberry Power</t>
  </si>
  <si>
    <t xml:space="preserve">Bhasam Power Cap</t>
  </si>
  <si>
    <t xml:space="preserve">Power Shots Sach</t>
  </si>
  <si>
    <t xml:space="preserve">Hairfall Control</t>
  </si>
  <si>
    <t xml:space="preserve">Anti-Hairfall Ki</t>
  </si>
  <si>
    <t xml:space="preserve">Power Roll Oil U</t>
  </si>
  <si>
    <t xml:space="preserve">TOTAL</t>
  </si>
  <si>
    <t xml:space="preserve">▼  DAILY  —  Col A mein date daalo, quantities auto-populate hongi</t>
  </si>
  <si>
    <t xml:space="preserve">▼  WEEKLY  —  Col A mein 'Week X — DD MMM to DD MMM' format mein likho</t>
  </si>
  <si>
    <t xml:space="preserve">▼  MONTHLY  —  Auto-calculates via SUMPRODUCT (month+year match)</t>
  </si>
  <si>
    <t xml:space="preserve">Apr 2025</t>
  </si>
  <si>
    <t xml:space="preserve">May 2025</t>
  </si>
  <si>
    <t xml:space="preserve">Jun 2025</t>
  </si>
  <si>
    <t xml:space="preserve">Jul 2025</t>
  </si>
  <si>
    <t xml:space="preserve">Aug 2025</t>
  </si>
  <si>
    <t xml:space="preserve">Sep 2025</t>
  </si>
  <si>
    <t xml:space="preserve">Oct 2025</t>
  </si>
  <si>
    <t xml:space="preserve">Nov 2025</t>
  </si>
  <si>
    <t xml:space="preserve">Dec 2025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</si>
  <si>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</si>
  <si>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</si>
  <si>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</si>
  <si>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</si>
  <si>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</si>
  <si>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</si>
  <si>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</si>
  <si>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✦ MeDa Partners  |  Dream · Deliver · Dominate                                    Wayveda — RTO Analysis  |  Right / Wrong / Fake + Warehouse Fault %</t>
  </si>
  <si>
    <t xml:space="preserve">Monthly RTO — Right (Recovered)</t>
  </si>
  <si>
    <t xml:space="preserve">Wrong + Fake (Lost)</t>
  </si>
  <si>
    <t xml:space="preserve">Totals &amp; Warehouse Fault</t>
  </si>
  <si>
    <t xml:space="preserve">Month</t>
  </si>
  <si>
    <t xml:space="preserve">Bum Plumping 
Right</t>
  </si>
  <si>
    <t xml:space="preserve">Intimate Whit
Right</t>
  </si>
  <si>
    <t xml:space="preserve">Chocolate Pow
Right</t>
  </si>
  <si>
    <t xml:space="preserve">Strawberry Po
Right</t>
  </si>
  <si>
    <t xml:space="preserve">Bhasam Power 
Right</t>
  </si>
  <si>
    <t xml:space="preserve">Power Shots S
Right</t>
  </si>
  <si>
    <t xml:space="preserve">Hairfall Cont
Right</t>
  </si>
  <si>
    <t xml:space="preserve">Anti-Hairfall
Right</t>
  </si>
  <si>
    <t xml:space="preserve">Power Roll Oi
Right</t>
  </si>
  <si>
    <t xml:space="preserve">Power Shot Oi
Right</t>
  </si>
  <si>
    <t xml:space="preserve">Total
Right</t>
  </si>
  <si>
    <t xml:space="preserve">Total
Wrong+Fake</t>
  </si>
  <si>
    <t xml:space="preserve">Total
RTO</t>
  </si>
  <si>
    <t xml:space="preserve">Dispatch
Total</t>
  </si>
  <si>
    <t xml:space="preserve">RTO
Rate %</t>
  </si>
  <si>
    <t xml:space="preserve">✦ MeDa Partners  |  Dream · Deliver · Dominate                                    Wayveda — Inward Analysis  |  Warehouse Ops</t>
  </si>
  <si>
    <t xml:space="preserve">✦ MeDa Partners  |  Dream · Deliver · Dominate                                    Daily Dispatch — Raw Data  |  Vendor Entry Only</t>
  </si>
  <si>
    <t xml:space="preserve">⚠  Vendor ya Google Form se auto-fill hoga  ·  Direct edit mat karo  ·  Formulas mat todna</t>
  </si>
  <si>
    <t xml:space="preserve">Date</t>
  </si>
  <si>
    <t xml:space="preserve">Bum Plumping C</t>
  </si>
  <si>
    <t xml:space="preserve">Intimate White</t>
  </si>
  <si>
    <t xml:space="preserve">Chocolate Powe</t>
  </si>
  <si>
    <t xml:space="preserve">Strawberry Pow</t>
  </si>
  <si>
    <t xml:space="preserve">Bhasam Power C</t>
  </si>
  <si>
    <t xml:space="preserve">Power Shots Sa</t>
  </si>
  <si>
    <t xml:space="preserve">Hairfall Contr</t>
  </si>
  <si>
    <t xml:space="preserve">Anti-Hairfall </t>
  </si>
  <si>
    <t xml:space="preserve">Power Roll Oil</t>
  </si>
  <si>
    <t xml:space="preserve">Day Total</t>
  </si>
  <si>
    <t xml:space="preserve">Notes</t>
  </si>
  <si>
    <t xml:space="preserve">✦ MeDa Partners  |  Dream · Deliver · Dominate                                    RTO Log — Raw Data  |  Vendor Entry Only</t>
  </si>
  <si>
    <t xml:space="preserve">⚠  Right = recovered stock  ·  Wrong = warehouse galti  ·  Fake/Damaged = lost permanently</t>
  </si>
  <si>
    <t xml:space="preserve">Right</t>
  </si>
  <si>
    <t xml:space="preserve">Wrong</t>
  </si>
  <si>
    <t xml:space="preserve">Fake</t>
  </si>
  <si>
    <t xml:space="preserve">✦ MeDa Partners  |  Dream · Deliver · Dominate                                    Stock In — Inbound Raw Data  |  Vendor Entry Only</t>
  </si>
  <si>
    <t xml:space="preserve">⚠  Sirf tab bharo jab naya maal aaya ho  ·  Total = Cartons × Qty per Carton (auto)</t>
  </si>
  <si>
    <t xml:space="preserve">Total Ctns</t>
  </si>
  <si>
    <t xml:space="preserve">Cartons</t>
  </si>
  <si>
    <t xml:space="preserve">Qty/Ctn</t>
  </si>
  <si>
    <t xml:space="preserve">Total</t>
  </si>
  <si>
    <t xml:space="preserve">✦ MeDa Partners  |  Dream · Deliver · Dominate                                    Form Responses — Auto Fill Only  |  Do Not Edit</t>
  </si>
  <si>
    <t xml:space="preserve">⚠  Google Form se auto-fill hogi  ·  KUCH MAT KARO YAHAN</t>
  </si>
  <si>
    <t xml:space="preserve">Timestamp</t>
  </si>
  <si>
    <t xml:space="preserve">Submitted By</t>
  </si>
  <si>
    <t xml:space="preserve">Entry Type</t>
  </si>
  <si>
    <t xml:space="preserve">Data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</si>
</sst>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\-mmm\-yy"/>
    <numFmt numFmtId="167" formatCode="dd\-mmm\-yyyy"/>
  </numFmts>
  <fonts count="33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Quicksand"/>
      <family val="0"/>
    </font>
    <font>
      <b val="true"/>
      <sz val="9"/>
      <color theme="1"/>
      <name val="Quicksand"/>
      <family val="0"/>
    </font>
    <font>
      <b val="true"/>
      <sz val="11"/>
      <color theme="1"/>
      <name val="Quicksand"/>
      <family val="0"/>
    </font>
    <font>
      <b val="true"/>
      <sz val="10"/>
      <color theme="1"/>
      <name val="Quicksand"/>
      <family val="0"/>
    </font>
    <font>
      <b val="true"/>
      <sz val="10"/>
      <color theme="1"/>
      <name val="Quicksand"/>
      <family val="0"/>
    </font>
    <font>
      <b val="true"/>
      <sz val="10"/>
      <color theme="1"/>
      <name val="Quicksand"/>
      <family val="0"/>
    </font>
    <font>
      <b val="true"/>
      <sz val="10"/>
      <color theme="1"/>
      <name val="Quicksand"/>
      <family val="0"/>
    </font>
    <font>
      <sz val="10"/>
      <color theme="1"/>
      <name val="Quicksand"/>
      <family val="0"/>
    </font>
    <font>
      <b val="true"/>
      <sz val="12"/>
      <color theme="1"/>
      <name val="Quicksand"/>
      <family val="0"/>
    </font>
    <font>
      <b val="true"/>
      <sz val="10"/>
      <color theme="1"/>
      <name val="Quicksand"/>
      <family val="0"/>
    </font>
    <font>
      <sz val="9"/>
      <color theme="1"/>
      <name val="Quicksand"/>
      <family val="0"/>
    </font>
    <font>
      <i val="true"/>
      <sz val="9"/>
      <color theme="1"/>
      <name val="Quicksand"/>
      <family val="0"/>
    </font>
    <font>
      <sz val="9"/>
      <color theme="1"/>
      <name val="Quicksand"/>
      <family val="0"/>
    </font>
    <font>
      <b val="true"/>
      <sz val="10"/>
      <color theme="1"/>
      <name val="Quicksand"/>
      <family val="0"/>
    </font>
    <font>
      <sz val="10"/>
      <color theme="1"/>
      <name val="Quicksand"/>
      <family val="0"/>
    </font>
    <font>
      <sz val="10"/>
      <color theme="1"/>
      <name val="Quicksand"/>
      <family val="0"/>
    </font>
    <font>
      <b val="true"/>
      <sz val="11"/>
      <color theme="1"/>
      <name val="Quicksand"/>
      <family val="0"/>
    </font>
    <font>
      <sz val="10"/>
      <color theme="1"/>
      <name val="Quicksand"/>
      <family val="0"/>
    </font>
    <font>
      <b val="true"/>
      <sz val="11"/>
      <color theme="1"/>
      <name val="Quicksand"/>
      <family val="0"/>
    </font>
    <font>
      <i val="true"/>
      <sz val="9"/>
      <color theme="1"/>
      <name val="Quicksand"/>
      <family val="0"/>
    </font>
    <font>
      <b val="true"/>
      <sz val="10"/>
      <color theme="1"/>
      <name val="Quicksand"/>
      <family val="0"/>
    </font>
    <font>
      <b val="true"/>
      <sz val="10"/>
      <color theme="1"/>
      <name val="Quicksand"/>
      <family val="0"/>
    </font>
    <font>
      <sz val="9"/>
      <color theme="1"/>
      <name val="Quicksand"/>
      <family val="0"/>
    </font>
    <font>
      <b val="true"/>
      <sz val="8"/>
      <color theme="1"/>
      <name val="Quicksand"/>
      <family val="0"/>
    </font>
    <font>
      <b val="true"/>
      <sz val="9"/>
      <color theme="1"/>
      <name val="Quicksand"/>
      <family val="0"/>
    </font>
    <font>
      <b val="true"/>
      <sz val="9"/>
      <color theme="1"/>
      <name val="Quicksand"/>
      <family val="0"/>
    </font>
    <font>
      <b val="true"/>
      <sz val="9"/>
      <color theme="1"/>
      <name val="Quicksand"/>
      <family val="0"/>
    </font>
    <font>
      <b val="true"/>
      <sz val="9"/>
      <color theme="1"/>
      <name val="Quicksand"/>
      <family val="0"/>
    </font>
    <font>
      <b val="true"/>
      <sz val="9"/>
      <color theme="1"/>
      <name val="Quicksand"/>
      <family val="0"/>
    </font>
  </fonts>
  <fills count="19">
    <fill>
      <patternFill patternType="none"/>
    </fill>
    <fill>
      <patternFill patternType="gray125"/>
    </fill>
    <fill>
      <patternFill patternType="solid">
        <fgColor rgb="FF5010A4"/>
        <bgColor rgb="FF6D28D9"/>
      </patternFill>
    </fill>
    <fill>
      <patternFill patternType="solid">
        <fgColor rgb="FF1D6B4A"/>
        <bgColor rgb="FF2E7D32"/>
      </patternFill>
    </fill>
    <fill>
      <patternFill patternType="solid">
        <fgColor rgb="FFF5F0FF"/>
        <bgColor rgb="FFFAFAFA"/>
      </patternFill>
    </fill>
    <fill>
      <patternFill patternType="solid">
        <fgColor rgb="FF21C7A8"/>
        <bgColor rgb="FF4BC3C9"/>
      </patternFill>
    </fill>
    <fill>
      <patternFill patternType="solid">
        <fgColor rgb="FFFF7A3D"/>
        <bgColor rgb="FFFF9900"/>
      </patternFill>
    </fill>
    <fill>
      <patternFill patternType="solid">
        <fgColor rgb="FF1E293B"/>
        <bgColor rgb="FF0F4A31"/>
      </patternFill>
    </fill>
    <fill>
      <patternFill patternType="solid">
        <fgColor rgb="FFD1F5F2"/>
        <bgColor rgb="FFE0F5F6"/>
      </patternFill>
    </fill>
    <fill>
      <patternFill patternType="solid">
        <fgColor rgb="FFFFF0E8"/>
        <bgColor rgb="FFF5F0FF"/>
      </patternFill>
    </fill>
    <fill>
      <patternFill patternType="solid">
        <fgColor rgb="FFE2E8F0"/>
        <bgColor rgb="FFEDE6F9"/>
      </patternFill>
    </fill>
    <fill>
      <patternFill patternType="solid">
        <fgColor rgb="FFFFFFFF"/>
        <bgColor rgb="FFFAFAFA"/>
      </patternFill>
    </fill>
    <fill>
      <patternFill patternType="solid">
        <fgColor rgb="FFE6F2EC"/>
        <bgColor rgb="FFE0F5F6"/>
      </patternFill>
    </fill>
    <fill>
      <patternFill patternType="solid">
        <fgColor rgb="FFE0F5F6"/>
        <bgColor rgb="FFE6F2EC"/>
      </patternFill>
    </fill>
    <fill>
      <patternFill patternType="solid">
        <fgColor rgb="FFFAFAFA"/>
        <bgColor rgb="FFFFFFFF"/>
      </patternFill>
    </fill>
    <fill>
      <patternFill patternType="solid">
        <fgColor rgb="FF4BC3C9"/>
        <bgColor rgb="FF21C7A8"/>
      </patternFill>
    </fill>
    <fill>
      <patternFill patternType="solid">
        <fgColor rgb="FFFFCDD2"/>
        <bgColor rgb="FFEDE6F9"/>
      </patternFill>
    </fill>
    <fill>
      <patternFill patternType="solid">
        <fgColor rgb="FFC8E6C9"/>
        <bgColor rgb="FFD1F5F2"/>
      </patternFill>
    </fill>
    <fill>
      <patternFill patternType="solid">
        <fgColor rgb="FF2E7D32"/>
        <bgColor rgb="FF3B6D11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DE6F9"/>
      </bottom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1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24" fillId="7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1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1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BA7517"/>
      <rgbColor rgb="FF800080"/>
      <rgbColor rgb="FF0E9E86"/>
      <rgbColor rgb="FFEDE6F9"/>
      <rgbColor rgb="FF3B6D11"/>
      <rgbColor rgb="FF9999FF"/>
      <rgbColor rgb="FFB71C1C"/>
      <rgbColor rgb="FFFFF0E8"/>
      <rgbColor rgb="FFD1F5F2"/>
      <rgbColor rgb="FF5010A4"/>
      <rgbColor rgb="FFFF7A3D"/>
      <rgbColor rgb="FF185FA5"/>
      <rgbColor rgb="FFE2E8F0"/>
      <rgbColor rgb="FF000080"/>
      <rgbColor rgb="FFFF00FF"/>
      <rgbColor rgb="FFFFFF00"/>
      <rgbColor rgb="FF00FFFF"/>
      <rgbColor rgb="FF800080"/>
      <rgbColor rgb="FF800000"/>
      <rgbColor rgb="FF2A8F93"/>
      <rgbColor rgb="FF0000FF"/>
      <rgbColor rgb="FF21C7A8"/>
      <rgbColor rgb="FFE0F5F6"/>
      <rgbColor rgb="FFC8E6C9"/>
      <rgbColor rgb="FFE6F2EC"/>
      <rgbColor rgb="FFF5F0FF"/>
      <rgbColor rgb="FFFAFAFA"/>
      <rgbColor rgb="FFCC99FF"/>
      <rgbColor rgb="FFFFCDD2"/>
      <rgbColor rgb="FF3366FF"/>
      <rgbColor rgb="FF4BC3C9"/>
      <rgbColor rgb="FF99CC00"/>
      <rgbColor rgb="FFFFCC00"/>
      <rgbColor rgb="FFFF9900"/>
      <rgbColor rgb="FFC8501A"/>
      <rgbColor rgb="FF534AB7"/>
      <rgbColor rgb="FF94A3B8"/>
      <rgbColor rgb="FF1D6B4A"/>
      <rgbColor rgb="FF2E8A60"/>
      <rgbColor rgb="FF0F4A31"/>
      <rgbColor rgb="FF444441"/>
      <rgbColor rgb="FF993C1D"/>
      <rgbColor rgb="FF993366"/>
      <rgbColor rgb="FF6D28D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010A4"/>
    <pageSetUpPr fitToPage="false"/>
  </sheetPr>
  <dimension ref="A1:I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7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</row>
    <row r="4" customFormat="false" ht="25.5" hidden="false" customHeight="true" outlineLevel="0" collapsed="false">
      <c r="A4" s="4" t="s">
        <v>2</v>
      </c>
      <c r="B4" s="4"/>
      <c r="C4" s="4"/>
      <c r="D4" s="5" t="s">
        <v>3</v>
      </c>
      <c r="E4" s="5"/>
      <c r="F4" s="6" t="s">
        <v>4</v>
      </c>
      <c r="G4" s="6"/>
      <c r="H4" s="7" t="s">
        <v>5</v>
      </c>
      <c r="I4" s="7"/>
    </row>
    <row r="5" customFormat="false" ht="3.75" hidden="false" customHeight="true" outlineLevel="0" collapsed="false"/>
    <row r="6" customFormat="false" ht="36" hidden="false" customHeight="true" outlineLevel="0" collapsed="false">
      <c r="A6" s="8" t="s">
        <v>6</v>
      </c>
      <c r="B6" s="8" t="s">
        <v>7</v>
      </c>
      <c r="C6" s="8" t="s">
        <v>8</v>
      </c>
      <c r="D6" s="9" t="s">
        <v>9</v>
      </c>
      <c r="E6" s="9" t="s">
        <v>10</v>
      </c>
      <c r="F6" s="10" t="s">
        <v>11</v>
      </c>
      <c r="G6" s="10" t="s">
        <v>12</v>
      </c>
      <c r="H6" s="11" t="s">
        <v>5</v>
      </c>
      <c r="I6" s="11" t="s">
        <v>13</v>
      </c>
    </row>
    <row r="7" customFormat="false" ht="21.75" hidden="false" customHeight="true" outlineLevel="0" collapsed="false">
      <c r="A7" s="12" t="n">
        <v>1</v>
      </c>
      <c r="B7" s="13" t="s">
        <v>14</v>
      </c>
      <c r="C7" s="14" t="n">
        <f aca="false">Ledger!H7</f>
        <v>0</v>
      </c>
      <c r="D7" s="12" t="n">
        <f aca="true">IFERROR(SUMPRODUCT((MONTH('Daily Dispatch'!$A$7:$A$506)=IF(MONTH(TODAY())=1,12,MONTH(TODAY())-1))*(YEAR('Daily Dispatch'!$A$7:$A$506)=IF(MONTH(TODAY())=1,YEAR(TODAY())-1,YEAR(TODAY())))*ISNUMBER('Daily Dispatch'!$A$7:$A$506)*'Daily Dispatch'!B7:B506),0)</f>
        <v>0</v>
      </c>
      <c r="E7" s="15" t="n">
        <f aca="true">IFERROR(SUMPRODUCT((MONTH('Daily Dispatch'!$A$7:$A$506)=MONTH(TODAY()))*(YEAR('Daily Dispatch'!$A$7:$A$506)=YEAR(TODAY()))*ISNUMBER('Daily Dispatch'!$A$7:$A$506)*'Daily Dispatch'!B7:B506),0)</f>
        <v>0</v>
      </c>
      <c r="F7" s="16" t="str">
        <f aca="false">IFERROR(IF(Ledger!I7=0,"Set Max Level",MAX(0,Ledger!I7-Ledger!H7)),"—")</f>
        <v>Set Max Level</v>
      </c>
      <c r="G7" s="17" t="str">
        <f aca="false">IFERROR(let(ldate,maxifs('Daily Dispatch'!$A$7:$A$506,'Daily Dispatch'!$A$7:$A$506,"&gt;0"),lqty,IFERROR(SUMIF('Daily Dispatch'!$A$7:$A$506,ldate,'Daily Dispatch'!B7:B506),0),datestr,IF(ldate=TODAY(),"Today",IF(ldate=TODAY()-1,"Yesterday",TEXT(ldate,"DD MMM"))),datestr&amp;" — "&amp;lqty&amp;" units"),"No data yet")</f>
        <v>No data yet</v>
      </c>
      <c r="H7" s="18" t="str">
        <f aca="false">IFERROR(IF(Ledger!I7=0,"⬜ Set Max Level",IF(Ledger!H7/Ledger!I7&gt;1,"✅ Above Target",IF(Ledger!H7/Ledger!I7&gt;=0.75,"✅ On Track",IF(Ledger!H7/Ledger!I7&gt;=0.5,"🟡 Watch",IF(Ledger!H7/Ledger!I7&gt;=0.25,"🔴 Low Stock","🔴 CRITICAL"))))),"—")</f>
        <v>⬜ Set Max Level</v>
      </c>
      <c r="I7" s="18" t="str">
        <f aca="false">IFERROR(IF(Ledger!I7=0,"—",IF(Ledger!H7&lt;Ledger!I7*0.25,"🔴 ORDER NOW",IF(Ledger!H7&lt;Ledger!I7*0.5,"⚠️ Plan Reorder","✅ OK"))),"—")</f>
        <v>—</v>
      </c>
    </row>
    <row r="8" customFormat="false" ht="21.75" hidden="false" customHeight="true" outlineLevel="0" collapsed="false">
      <c r="A8" s="19" t="n">
        <v>2</v>
      </c>
      <c r="B8" s="20" t="s">
        <v>15</v>
      </c>
      <c r="C8" s="14" t="n">
        <f aca="false">Ledger!H8</f>
        <v>0</v>
      </c>
      <c r="D8" s="19" t="n">
        <f aca="true">IFERROR(SUMPRODUCT((MONTH('Daily Dispatch'!$A$7:$A$506)=IF(MONTH(TODAY())=1,12,MONTH(TODAY())-1))*(YEAR('Daily Dispatch'!$A$7:$A$506)=IF(MONTH(TODAY())=1,YEAR(TODAY())-1,YEAR(TODAY())))*ISNUMBER('Daily Dispatch'!$A$7:$A$506)*'Daily Dispatch'!C7:C506),0)</f>
        <v>0</v>
      </c>
      <c r="E8" s="15" t="n">
        <f aca="true">IFERROR(SUMPRODUCT((MONTH('Daily Dispatch'!$A$7:$A$506)=MONTH(TODAY()))*(YEAR('Daily Dispatch'!$A$7:$A$506)=YEAR(TODAY()))*ISNUMBER('Daily Dispatch'!$A$7:$A$506)*'Daily Dispatch'!C7:C506),0)</f>
        <v>0</v>
      </c>
      <c r="F8" s="16" t="str">
        <f aca="false">IFERROR(IF(Ledger!I8=0,"Set Max Level",MAX(0,Ledger!I8-Ledger!H8)),"—")</f>
        <v>Set Max Level</v>
      </c>
      <c r="G8" s="21" t="str">
        <f aca="false">IFERROR(let(ldate,maxifs('Daily Dispatch'!$A$7:$A$506,'Daily Dispatch'!$A$7:$A$506,"&gt;0"),lqty,IFERROR(SUMIF('Daily Dispatch'!$A$7:$A$506,ldate,'Daily Dispatch'!C7:C506),0),datestr,IF(ldate=TODAY(),"Today",IF(ldate=TODAY()-1,"Yesterday",TEXT(ldate,"DD MMM"))),datestr&amp;" — "&amp;lqty&amp;" units"),"No data yet")</f>
        <v>No data yet</v>
      </c>
      <c r="H8" s="22" t="str">
        <f aca="false">IFERROR(IF(Ledger!I8=0,"⬜ Set Max Level",IF(Ledger!H8/Ledger!I8&gt;1,"✅ Above Target",IF(Ledger!H8/Ledger!I8&gt;=0.75,"✅ On Track",IF(Ledger!H8/Ledger!I8&gt;=0.5,"🟡 Watch",IF(Ledger!H8/Ledger!I8&gt;=0.25,"🔴 Low Stock","🔴 CRITICAL"))))),"—")</f>
        <v>⬜ Set Max Level</v>
      </c>
      <c r="I8" s="22" t="str">
        <f aca="false">IFERROR(IF(Ledger!I8=0,"—",IF(Ledger!H8&lt;Ledger!I8*0.25,"🔴 ORDER NOW",IF(Ledger!H8&lt;Ledger!I8*0.5,"⚠️ Plan Reorder","✅ OK"))),"—")</f>
        <v>—</v>
      </c>
    </row>
    <row r="9" customFormat="false" ht="21.75" hidden="false" customHeight="true" outlineLevel="0" collapsed="false">
      <c r="A9" s="12" t="n">
        <v>3</v>
      </c>
      <c r="B9" s="13" t="s">
        <v>16</v>
      </c>
      <c r="C9" s="14" t="n">
        <f aca="false">Ledger!H9</f>
        <v>0</v>
      </c>
      <c r="D9" s="12" t="n">
        <f aca="true">IFERROR(SUMPRODUCT((MONTH('Daily Dispatch'!$A$7:$A$506)=IF(MONTH(TODAY())=1,12,MONTH(TODAY())-1))*(YEAR('Daily Dispatch'!$A$7:$A$506)=IF(MONTH(TODAY())=1,YEAR(TODAY())-1,YEAR(TODAY())))*ISNUMBER('Daily Dispatch'!$A$7:$A$506)*'Daily Dispatch'!D7:D506),0)</f>
        <v>0</v>
      </c>
      <c r="E9" s="15" t="n">
        <f aca="true">IFERROR(SUMPRODUCT((MONTH('Daily Dispatch'!$A$7:$A$506)=MONTH(TODAY()))*(YEAR('Daily Dispatch'!$A$7:$A$506)=YEAR(TODAY()))*ISNUMBER('Daily Dispatch'!$A$7:$A$506)*'Daily Dispatch'!D7:D506),0)</f>
        <v>0</v>
      </c>
      <c r="F9" s="16" t="str">
        <f aca="false">IFERROR(IF(Ledger!I9=0,"Set Max Level",MAX(0,Ledger!I9-Ledger!H9)),"—")</f>
        <v>Set Max Level</v>
      </c>
      <c r="G9" s="17" t="str">
        <f aca="false">IFERROR(let(ldate,maxifs('Daily Dispatch'!$A$7:$A$506,'Daily Dispatch'!$A$7:$A$506,"&gt;0"),lqty,IFERROR(SUMIF('Daily Dispatch'!$A$7:$A$506,ldate,'Daily Dispatch'!D7:D506),0),datestr,IF(ldate=TODAY(),"Today",IF(ldate=TODAY()-1,"Yesterday",TEXT(ldate,"DD MMM"))),datestr&amp;" — "&amp;lqty&amp;" units"),"No data yet")</f>
        <v>No data yet</v>
      </c>
      <c r="H9" s="18" t="str">
        <f aca="false">IFERROR(IF(Ledger!I9=0,"⬜ Set Max Level",IF(Ledger!H9/Ledger!I9&gt;1,"✅ Above Target",IF(Ledger!H9/Ledger!I9&gt;=0.75,"✅ On Track",IF(Ledger!H9/Ledger!I9&gt;=0.5,"🟡 Watch",IF(Ledger!H9/Ledger!I9&gt;=0.25,"🔴 Low Stock","🔴 CRITICAL"))))),"—")</f>
        <v>⬜ Set Max Level</v>
      </c>
      <c r="I9" s="18" t="str">
        <f aca="false">IFERROR(IF(Ledger!I9=0,"—",IF(Ledger!H9&lt;Ledger!I9*0.25,"🔴 ORDER NOW",IF(Ledger!H9&lt;Ledger!I9*0.5,"⚠️ Plan Reorder","✅ OK"))),"—")</f>
        <v>—</v>
      </c>
    </row>
    <row r="10" customFormat="false" ht="21.75" hidden="false" customHeight="true" outlineLevel="0" collapsed="false">
      <c r="A10" s="19" t="n">
        <v>4</v>
      </c>
      <c r="B10" s="20" t="s">
        <v>17</v>
      </c>
      <c r="C10" s="14" t="n">
        <f aca="false">Ledger!H10</f>
        <v>0</v>
      </c>
      <c r="D10" s="19" t="n">
        <f aca="true">IFERROR(SUMPRODUCT((MONTH('Daily Dispatch'!$A$7:$A$506)=IF(MONTH(TODAY())=1,12,MONTH(TODAY())-1))*(YEAR('Daily Dispatch'!$A$7:$A$506)=IF(MONTH(TODAY())=1,YEAR(TODAY())-1,YEAR(TODAY())))*ISNUMBER('Daily Dispatch'!$A$7:$A$506)*'Daily Dispatch'!E7:E506),0)</f>
        <v>0</v>
      </c>
      <c r="E10" s="15" t="n">
        <f aca="true">IFERROR(SUMPRODUCT((MONTH('Daily Dispatch'!$A$7:$A$506)=MONTH(TODAY()))*(YEAR('Daily Dispatch'!$A$7:$A$506)=YEAR(TODAY()))*ISNUMBER('Daily Dispatch'!$A$7:$A$506)*'Daily Dispatch'!E7:E506),0)</f>
        <v>0</v>
      </c>
      <c r="F10" s="16" t="str">
        <f aca="false">IFERROR(IF(Ledger!I10=0,"Set Max Level",MAX(0,Ledger!I10-Ledger!H10)),"—")</f>
        <v>Set Max Level</v>
      </c>
      <c r="G10" s="21" t="str">
        <f aca="false">IFERROR(let(ldate,maxifs('Daily Dispatch'!$A$7:$A$506,'Daily Dispatch'!$A$7:$A$506,"&gt;0"),lqty,IFERROR(SUMIF('Daily Dispatch'!$A$7:$A$506,ldate,'Daily Dispatch'!E7:E506),0),datestr,IF(ldate=TODAY(),"Today",IF(ldate=TODAY()-1,"Yesterday",TEXT(ldate,"DD MMM"))),datestr&amp;" — "&amp;lqty&amp;" units"),"No data yet")</f>
        <v>No data yet</v>
      </c>
      <c r="H10" s="22" t="str">
        <f aca="false">IFERROR(IF(Ledger!I10=0,"⬜ Set Max Level",IF(Ledger!H10/Ledger!I10&gt;1,"✅ Above Target",IF(Ledger!H10/Ledger!I10&gt;=0.75,"✅ On Track",IF(Ledger!H10/Ledger!I10&gt;=0.5,"🟡 Watch",IF(Ledger!H10/Ledger!I10&gt;=0.25,"🔴 Low Stock","🔴 CRITICAL"))))),"—")</f>
        <v>⬜ Set Max Level</v>
      </c>
      <c r="I10" s="22" t="str">
        <f aca="false">IFERROR(IF(Ledger!I10=0,"—",IF(Ledger!H10&lt;Ledger!I10*0.25,"🔴 ORDER NOW",IF(Ledger!H10&lt;Ledger!I10*0.5,"⚠️ Plan Reorder","✅ OK"))),"—")</f>
        <v>—</v>
      </c>
    </row>
    <row r="11" customFormat="false" ht="21.75" hidden="false" customHeight="true" outlineLevel="0" collapsed="false">
      <c r="A11" s="12" t="n">
        <v>5</v>
      </c>
      <c r="B11" s="13" t="s">
        <v>18</v>
      </c>
      <c r="C11" s="14" t="n">
        <f aca="false">Ledger!H11</f>
        <v>0</v>
      </c>
      <c r="D11" s="12" t="n">
        <f aca="true">IFERROR(SUMPRODUCT((MONTH('Daily Dispatch'!$A$7:$A$506)=IF(MONTH(TODAY())=1,12,MONTH(TODAY())-1))*(YEAR('Daily Dispatch'!$A$7:$A$506)=IF(MONTH(TODAY())=1,YEAR(TODAY())-1,YEAR(TODAY())))*ISNUMBER('Daily Dispatch'!$A$7:$A$506)*'Daily Dispatch'!F7:F506),0)</f>
        <v>0</v>
      </c>
      <c r="E11" s="15" t="n">
        <f aca="true">IFERROR(SUMPRODUCT((MONTH('Daily Dispatch'!$A$7:$A$506)=MONTH(TODAY()))*(YEAR('Daily Dispatch'!$A$7:$A$506)=YEAR(TODAY()))*ISNUMBER('Daily Dispatch'!$A$7:$A$506)*'Daily Dispatch'!F7:F506),0)</f>
        <v>0</v>
      </c>
      <c r="F11" s="16" t="str">
        <f aca="false">IFERROR(IF(Ledger!I11=0,"Set Max Level",MAX(0,Ledger!I11-Ledger!H11)),"—")</f>
        <v>Set Max Level</v>
      </c>
      <c r="G11" s="17" t="str">
        <f aca="false">IFERROR(let(ldate,maxifs('Daily Dispatch'!$A$7:$A$506,'Daily Dispatch'!$A$7:$A$506,"&gt;0"),lqty,IFERROR(SUMIF('Daily Dispatch'!$A$7:$A$506,ldate,'Daily Dispatch'!F7:F506),0),datestr,IF(ldate=TODAY(),"Today",IF(ldate=TODAY()-1,"Yesterday",TEXT(ldate,"DD MMM"))),datestr&amp;" — "&amp;lqty&amp;" units"),"No data yet")</f>
        <v>No data yet</v>
      </c>
      <c r="H11" s="18" t="str">
        <f aca="false">IFERROR(IF(Ledger!I11=0,"⬜ Set Max Level",IF(Ledger!H11/Ledger!I11&gt;1,"✅ Above Target",IF(Ledger!H11/Ledger!I11&gt;=0.75,"✅ On Track",IF(Ledger!H11/Ledger!I11&gt;=0.5,"🟡 Watch",IF(Ledger!H11/Ledger!I11&gt;=0.25,"🔴 Low Stock","🔴 CRITICAL"))))),"—")</f>
        <v>⬜ Set Max Level</v>
      </c>
      <c r="I11" s="18" t="str">
        <f aca="false">IFERROR(IF(Ledger!I11=0,"—",IF(Ledger!H11&lt;Ledger!I11*0.25,"🔴 ORDER NOW",IF(Ledger!H11&lt;Ledger!I11*0.5,"⚠️ Plan Reorder","✅ OK"))),"—")</f>
        <v>—</v>
      </c>
    </row>
    <row r="12" customFormat="false" ht="21.75" hidden="false" customHeight="true" outlineLevel="0" collapsed="false">
      <c r="A12" s="19" t="n">
        <v>6</v>
      </c>
      <c r="B12" s="20" t="s">
        <v>19</v>
      </c>
      <c r="C12" s="14" t="n">
        <f aca="false">Ledger!H12</f>
        <v>0</v>
      </c>
      <c r="D12" s="19" t="n">
        <f aca="true">IFERROR(SUMPRODUCT((MONTH('Daily Dispatch'!$A$7:$A$506)=IF(MONTH(TODAY())=1,12,MONTH(TODAY())-1))*(YEAR('Daily Dispatch'!$A$7:$A$506)=IF(MONTH(TODAY())=1,YEAR(TODAY())-1,YEAR(TODAY())))*ISNUMBER('Daily Dispatch'!$A$7:$A$506)*'Daily Dispatch'!G7:G506),0)</f>
        <v>0</v>
      </c>
      <c r="E12" s="15" t="n">
        <f aca="true">IFERROR(SUMPRODUCT((MONTH('Daily Dispatch'!$A$7:$A$506)=MONTH(TODAY()))*(YEAR('Daily Dispatch'!$A$7:$A$506)=YEAR(TODAY()))*ISNUMBER('Daily Dispatch'!$A$7:$A$506)*'Daily Dispatch'!G7:G506),0)</f>
        <v>0</v>
      </c>
      <c r="F12" s="16" t="str">
        <f aca="false">IFERROR(IF(Ledger!I12=0,"Set Max Level",MAX(0,Ledger!I12-Ledger!H12)),"—")</f>
        <v>Set Max Level</v>
      </c>
      <c r="G12" s="21" t="str">
        <f aca="false">IFERROR(let(ldate,maxifs('Daily Dispatch'!$A$7:$A$506,'Daily Dispatch'!$A$7:$A$506,"&gt;0"),lqty,IFERROR(SUMIF('Daily Dispatch'!$A$7:$A$506,ldate,'Daily Dispatch'!G7:G506),0),datestr,IF(ldate=TODAY(),"Today",IF(ldate=TODAY()-1,"Yesterday",TEXT(ldate,"DD MMM"))),datestr&amp;" — "&amp;lqty&amp;" units"),"No data yet")</f>
        <v>No data yet</v>
      </c>
      <c r="H12" s="22" t="str">
        <f aca="false">IFERROR(IF(Ledger!I12=0,"⬜ Set Max Level",IF(Ledger!H12/Ledger!I12&gt;1,"✅ Above Target",IF(Ledger!H12/Ledger!I12&gt;=0.75,"✅ On Track",IF(Ledger!H12/Ledger!I12&gt;=0.5,"🟡 Watch",IF(Ledger!H12/Ledger!I12&gt;=0.25,"🔴 Low Stock","🔴 CRITICAL"))))),"—")</f>
        <v>⬜ Set Max Level</v>
      </c>
      <c r="I12" s="22" t="str">
        <f aca="false">IFERROR(IF(Ledger!I12=0,"—",IF(Ledger!H12&lt;Ledger!I12*0.25,"🔴 ORDER NOW",IF(Ledger!H12&lt;Ledger!I12*0.5,"⚠️ Plan Reorder","✅ OK"))),"—")</f>
        <v>—</v>
      </c>
    </row>
    <row r="13" customFormat="false" ht="21.75" hidden="false" customHeight="true" outlineLevel="0" collapsed="false">
      <c r="A13" s="12" t="n">
        <v>7</v>
      </c>
      <c r="B13" s="13" t="s">
        <v>20</v>
      </c>
      <c r="C13" s="14" t="n">
        <f aca="false">Ledger!H13</f>
        <v>0</v>
      </c>
      <c r="D13" s="12" t="n">
        <f aca="true">IFERROR(SUMPRODUCT((MONTH('Daily Dispatch'!$A$7:$A$506)=IF(MONTH(TODAY())=1,12,MONTH(TODAY())-1))*(YEAR('Daily Dispatch'!$A$7:$A$506)=IF(MONTH(TODAY())=1,YEAR(TODAY())-1,YEAR(TODAY())))*ISNUMBER('Daily Dispatch'!$A$7:$A$506)*'Daily Dispatch'!H7:H506),0)</f>
        <v>0</v>
      </c>
      <c r="E13" s="15" t="n">
        <f aca="true">IFERROR(SUMPRODUCT((MONTH('Daily Dispatch'!$A$7:$A$506)=MONTH(TODAY()))*(YEAR('Daily Dispatch'!$A$7:$A$506)=YEAR(TODAY()))*ISNUMBER('Daily Dispatch'!$A$7:$A$506)*'Daily Dispatch'!H7:H506),0)</f>
        <v>0</v>
      </c>
      <c r="F13" s="16" t="str">
        <f aca="false">IFERROR(IF(Ledger!I13=0,"Set Max Level",MAX(0,Ledger!I13-Ledger!H13)),"—")</f>
        <v>Set Max Level</v>
      </c>
      <c r="G13" s="17" t="str">
        <f aca="false">IFERROR(let(ldate,maxifs('Daily Dispatch'!$A$7:$A$506,'Daily Dispatch'!$A$7:$A$506,"&gt;0"),lqty,IFERROR(SUMIF('Daily Dispatch'!$A$7:$A$506,ldate,'Daily Dispatch'!H7:H506),0),datestr,IF(ldate=TODAY(),"Today",IF(ldate=TODAY()-1,"Yesterday",TEXT(ldate,"DD MMM"))),datestr&amp;" — "&amp;lqty&amp;" units"),"No data yet")</f>
        <v>No data yet</v>
      </c>
      <c r="H13" s="18" t="str">
        <f aca="false">IFERROR(IF(Ledger!I13=0,"⬜ Set Max Level",IF(Ledger!H13/Ledger!I13&gt;1,"✅ Above Target",IF(Ledger!H13/Ledger!I13&gt;=0.75,"✅ On Track",IF(Ledger!H13/Ledger!I13&gt;=0.5,"🟡 Watch",IF(Ledger!H13/Ledger!I13&gt;=0.25,"🔴 Low Stock","🔴 CRITICAL"))))),"—")</f>
        <v>⬜ Set Max Level</v>
      </c>
      <c r="I13" s="18" t="str">
        <f aca="false">IFERROR(IF(Ledger!I13=0,"—",IF(Ledger!H13&lt;Ledger!I13*0.25,"🔴 ORDER NOW",IF(Ledger!H13&lt;Ledger!I13*0.5,"⚠️ Plan Reorder","✅ OK"))),"—")</f>
        <v>—</v>
      </c>
    </row>
    <row r="14" customFormat="false" ht="21.75" hidden="false" customHeight="true" outlineLevel="0" collapsed="false">
      <c r="A14" s="19" t="n">
        <v>8</v>
      </c>
      <c r="B14" s="20" t="s">
        <v>21</v>
      </c>
      <c r="C14" s="14" t="n">
        <f aca="false">Ledger!H14</f>
        <v>0</v>
      </c>
      <c r="D14" s="19" t="n">
        <f aca="true">IFERROR(SUMPRODUCT((MONTH('Daily Dispatch'!$A$7:$A$506)=IF(MONTH(TODAY())=1,12,MONTH(TODAY())-1))*(YEAR('Daily Dispatch'!$A$7:$A$506)=IF(MONTH(TODAY())=1,YEAR(TODAY())-1,YEAR(TODAY())))*ISNUMBER('Daily Dispatch'!$A$7:$A$506)*'Daily Dispatch'!I7:I506),0)</f>
        <v>0</v>
      </c>
      <c r="E14" s="15" t="n">
        <f aca="true">IFERROR(SUMPRODUCT((MONTH('Daily Dispatch'!$A$7:$A$506)=MONTH(TODAY()))*(YEAR('Daily Dispatch'!$A$7:$A$506)=YEAR(TODAY()))*ISNUMBER('Daily Dispatch'!$A$7:$A$506)*'Daily Dispatch'!I7:I506),0)</f>
        <v>0</v>
      </c>
      <c r="F14" s="16" t="str">
        <f aca="false">IFERROR(IF(Ledger!I14=0,"Set Max Level",MAX(0,Ledger!I14-Ledger!H14)),"—")</f>
        <v>Set Max Level</v>
      </c>
      <c r="G14" s="21" t="str">
        <f aca="false">IFERROR(let(ldate,maxifs('Daily Dispatch'!$A$7:$A$506,'Daily Dispatch'!$A$7:$A$506,"&gt;0"),lqty,IFERROR(SUMIF('Daily Dispatch'!$A$7:$A$506,ldate,'Daily Dispatch'!I7:I506),0),datestr,IF(ldate=TODAY(),"Today",IF(ldate=TODAY()-1,"Yesterday",TEXT(ldate,"DD MMM"))),datestr&amp;" — "&amp;lqty&amp;" units"),"No data yet")</f>
        <v>No data yet</v>
      </c>
      <c r="H14" s="22" t="str">
        <f aca="false">IFERROR(IF(Ledger!I14=0,"⬜ Set Max Level",IF(Ledger!H14/Ledger!I14&gt;1,"✅ Above Target",IF(Ledger!H14/Ledger!I14&gt;=0.75,"✅ On Track",IF(Ledger!H14/Ledger!I14&gt;=0.5,"🟡 Watch",IF(Ledger!H14/Ledger!I14&gt;=0.25,"🔴 Low Stock","🔴 CRITICAL"))))),"—")</f>
        <v>⬜ Set Max Level</v>
      </c>
      <c r="I14" s="22" t="str">
        <f aca="false">IFERROR(IF(Ledger!I14=0,"—",IF(Ledger!H14&lt;Ledger!I14*0.25,"🔴 ORDER NOW",IF(Ledger!H14&lt;Ledger!I14*0.5,"⚠️ Plan Reorder","✅ OK"))),"—")</f>
        <v>—</v>
      </c>
    </row>
    <row r="15" customFormat="false" ht="21.75" hidden="false" customHeight="true" outlineLevel="0" collapsed="false">
      <c r="A15" s="12" t="n">
        <v>9</v>
      </c>
      <c r="B15" s="13" t="s">
        <v>22</v>
      </c>
      <c r="C15" s="14" t="n">
        <f aca="false">Ledger!H15</f>
        <v>0</v>
      </c>
      <c r="D15" s="12" t="n">
        <f aca="true">IFERROR(SUMPRODUCT((MONTH('Daily Dispatch'!$A$7:$A$506)=IF(MONTH(TODAY())=1,12,MONTH(TODAY())-1))*(YEAR('Daily Dispatch'!$A$7:$A$506)=IF(MONTH(TODAY())=1,YEAR(TODAY())-1,YEAR(TODAY())))*ISNUMBER('Daily Dispatch'!$A$7:$A$506)*'Daily Dispatch'!J7:J506),0)</f>
        <v>0</v>
      </c>
      <c r="E15" s="15" t="n">
        <f aca="true">IFERROR(SUMPRODUCT((MONTH('Daily Dispatch'!$A$7:$A$506)=MONTH(TODAY()))*(YEAR('Daily Dispatch'!$A$7:$A$506)=YEAR(TODAY()))*ISNUMBER('Daily Dispatch'!$A$7:$A$506)*'Daily Dispatch'!J7:J506),0)</f>
        <v>0</v>
      </c>
      <c r="F15" s="16" t="str">
        <f aca="false">IFERROR(IF(Ledger!I15=0,"Set Max Level",MAX(0,Ledger!I15-Ledger!H15)),"—")</f>
        <v>Set Max Level</v>
      </c>
      <c r="G15" s="17" t="str">
        <f aca="false">IFERROR(let(ldate,maxifs('Daily Dispatch'!$A$7:$A$506,'Daily Dispatch'!$A$7:$A$506,"&gt;0"),lqty,IFERROR(SUMIF('Daily Dispatch'!$A$7:$A$506,ldate,'Daily Dispatch'!J7:J506),0),datestr,IF(ldate=TODAY(),"Today",IF(ldate=TODAY()-1,"Yesterday",TEXT(ldate,"DD MMM"))),datestr&amp;" — "&amp;lqty&amp;" units"),"No data yet")</f>
        <v>No data yet</v>
      </c>
      <c r="H15" s="18" t="str">
        <f aca="false">IFERROR(IF(Ledger!I15=0,"⬜ Set Max Level",IF(Ledger!H15/Ledger!I15&gt;1,"✅ Above Target",IF(Ledger!H15/Ledger!I15&gt;=0.75,"✅ On Track",IF(Ledger!H15/Ledger!I15&gt;=0.5,"🟡 Watch",IF(Ledger!H15/Ledger!I15&gt;=0.25,"🔴 Low Stock","🔴 CRITICAL"))))),"—")</f>
        <v>⬜ Set Max Level</v>
      </c>
      <c r="I15" s="18" t="str">
        <f aca="false">IFERROR(IF(Ledger!I15=0,"—",IF(Ledger!H15&lt;Ledger!I15*0.25,"🔴 ORDER NOW",IF(Ledger!H15&lt;Ledger!I15*0.5,"⚠️ Plan Reorder","✅ OK"))),"—")</f>
        <v>—</v>
      </c>
    </row>
    <row r="16" customFormat="false" ht="21.75" hidden="false" customHeight="true" outlineLevel="0" collapsed="false">
      <c r="A16" s="19" t="n">
        <v>10</v>
      </c>
      <c r="B16" s="20" t="s">
        <v>23</v>
      </c>
      <c r="C16" s="14" t="n">
        <f aca="false">Ledger!H16</f>
        <v>0</v>
      </c>
      <c r="D16" s="19" t="n">
        <f aca="true">IFERROR(SUMPRODUCT((MONTH('Daily Dispatch'!$A$7:$A$506)=IF(MONTH(TODAY())=1,12,MONTH(TODAY())-1))*(YEAR('Daily Dispatch'!$A$7:$A$506)=IF(MONTH(TODAY())=1,YEAR(TODAY())-1,YEAR(TODAY())))*ISNUMBER('Daily Dispatch'!$A$7:$A$506)*'Daily Dispatch'!K7:K506),0)</f>
        <v>0</v>
      </c>
      <c r="E16" s="15" t="n">
        <f aca="true">IFERROR(SUMPRODUCT((MONTH('Daily Dispatch'!$A$7:$A$506)=MONTH(TODAY()))*(YEAR('Daily Dispatch'!$A$7:$A$506)=YEAR(TODAY()))*ISNUMBER('Daily Dispatch'!$A$7:$A$506)*'Daily Dispatch'!K7:K506),0)</f>
        <v>0</v>
      </c>
      <c r="F16" s="16" t="str">
        <f aca="false">IFERROR(IF(Ledger!I16=0,"Set Max Level",MAX(0,Ledger!I16-Ledger!H16)),"—")</f>
        <v>Set Max Level</v>
      </c>
      <c r="G16" s="21" t="str">
        <f aca="false">IFERROR(let(ldate,maxifs('Daily Dispatch'!$A$7:$A$506,'Daily Dispatch'!$A$7:$A$506,"&gt;0"),lqty,IFERROR(SUMIF('Daily Dispatch'!$A$7:$A$506,ldate,'Daily Dispatch'!K7:K506),0),datestr,IF(ldate=TODAY(),"Today",IF(ldate=TODAY()-1,"Yesterday",TEXT(ldate,"DD MMM"))),datestr&amp;" — "&amp;lqty&amp;" units"),"No data yet")</f>
        <v>No data yet</v>
      </c>
      <c r="H16" s="22" t="str">
        <f aca="false">IFERROR(IF(Ledger!I16=0,"⬜ Set Max Level",IF(Ledger!H16/Ledger!I16&gt;1,"✅ Above Target",IF(Ledger!H16/Ledger!I16&gt;=0.75,"✅ On Track",IF(Ledger!H16/Ledger!I16&gt;=0.5,"🟡 Watch",IF(Ledger!H16/Ledger!I16&gt;=0.25,"🔴 Low Stock","🔴 CRITICAL"))))),"—")</f>
        <v>⬜ Set Max Level</v>
      </c>
      <c r="I16" s="22" t="str">
        <f aca="false">IFERROR(IF(Ledger!I16=0,"—",IF(Ledger!H16&lt;Ledger!I16*0.25,"🔴 ORDER NOW",IF(Ledger!H16&lt;Ledger!I16*0.5,"⚠️ Plan Reorder","✅ OK"))),"—")</f>
        <v>—</v>
      </c>
    </row>
    <row r="17" customFormat="false" ht="21.75" hidden="false" customHeight="true" outlineLevel="0" collapsed="false">
      <c r="A17" s="12" t="n">
        <v>11</v>
      </c>
      <c r="B17" s="13" t="s">
        <v>24</v>
      </c>
      <c r="C17" s="14" t="n">
        <f aca="false">Ledger!H17</f>
        <v>0</v>
      </c>
      <c r="D17" s="12" t="n">
        <f aca="true">IFERROR(SUMPRODUCT((MONTH('Daily Dispatch'!$A$7:$A$506)=IF(MONTH(TODAY())=1,12,MONTH(TODAY())-1))*(YEAR('Daily Dispatch'!$A$7:$A$506)=IF(MONTH(TODAY())=1,YEAR(TODAY())-1,YEAR(TODAY())))*ISNUMBER('Daily Dispatch'!$A$7:$A$506)*'Daily Dispatch'!L7:L506),0)</f>
        <v>0</v>
      </c>
      <c r="E17" s="15" t="n">
        <f aca="true">IFERROR(SUMPRODUCT((MONTH('Daily Dispatch'!$A$7:$A$506)=MONTH(TODAY()))*(YEAR('Daily Dispatch'!$A$7:$A$506)=YEAR(TODAY()))*ISNUMBER('Daily Dispatch'!$A$7:$A$506)*'Daily Dispatch'!L7:L506),0)</f>
        <v>0</v>
      </c>
      <c r="F17" s="16" t="str">
        <f aca="false">IFERROR(IF(Ledger!I17=0,"Set Max Level",MAX(0,Ledger!I17-Ledger!H17)),"—")</f>
        <v>Set Max Level</v>
      </c>
      <c r="G17" s="17" t="str">
        <f aca="false">IFERROR(let(ldate,maxifs('Daily Dispatch'!$A$7:$A$506,'Daily Dispatch'!$A$7:$A$506,"&gt;0"),lqty,IFERROR(SUMIF('Daily Dispatch'!$A$7:$A$506,ldate,'Daily Dispatch'!L7:L506),0),datestr,IF(ldate=TODAY(),"Today",IF(ldate=TODAY()-1,"Yesterday",TEXT(ldate,"DD MMM"))),datestr&amp;" — "&amp;lqty&amp;" units"),"No data yet")</f>
        <v>No data yet</v>
      </c>
      <c r="H17" s="18" t="str">
        <f aca="false">IFERROR(IF(Ledger!I17=0,"⬜ Set Max Level",IF(Ledger!H17/Ledger!I17&gt;1,"✅ Above Target",IF(Ledger!H17/Ledger!I17&gt;=0.75,"✅ On Track",IF(Ledger!H17/Ledger!I17&gt;=0.5,"🟡 Watch",IF(Ledger!H17/Ledger!I17&gt;=0.25,"🔴 Low Stock","🔴 CRITICAL"))))),"—")</f>
        <v>⬜ Set Max Level</v>
      </c>
      <c r="I17" s="18" t="str">
        <f aca="false">IFERROR(IF(Ledger!I17=0,"—",IF(Ledger!H17&lt;Ledger!I17*0.25,"🔴 ORDER NOW",IF(Ledger!H17&lt;Ledger!I17*0.5,"⚠️ Plan Reorder","✅ OK"))),"—")</f>
        <v>—</v>
      </c>
    </row>
    <row r="18" customFormat="false" ht="21.75" hidden="false" customHeight="true" outlineLevel="0" collapsed="false">
      <c r="A18" s="19" t="n">
        <v>12</v>
      </c>
      <c r="B18" s="20" t="s">
        <v>25</v>
      </c>
      <c r="C18" s="14" t="n">
        <f aca="false">Ledger!H18</f>
        <v>0</v>
      </c>
      <c r="D18" s="19" t="n">
        <f aca="true">IFERROR(SUMPRODUCT((MONTH('Daily Dispatch'!$A$7:$A$506)=IF(MONTH(TODAY())=1,12,MONTH(TODAY())-1))*(YEAR('Daily Dispatch'!$A$7:$A$506)=IF(MONTH(TODAY())=1,YEAR(TODAY())-1,YEAR(TODAY())))*ISNUMBER('Daily Dispatch'!$A$7:$A$506)*'Daily Dispatch'!M7:M506),0)</f>
        <v>0</v>
      </c>
      <c r="E18" s="15" t="n">
        <f aca="true">IFERROR(SUMPRODUCT((MONTH('Daily Dispatch'!$A$7:$A$506)=MONTH(TODAY()))*(YEAR('Daily Dispatch'!$A$7:$A$506)=YEAR(TODAY()))*ISNUMBER('Daily Dispatch'!$A$7:$A$506)*'Daily Dispatch'!M7:M506),0)</f>
        <v>0</v>
      </c>
      <c r="F18" s="16" t="str">
        <f aca="false">IFERROR(IF(Ledger!I18=0,"Set Max Level",MAX(0,Ledger!I18-Ledger!H18)),"—")</f>
        <v>Set Max Level</v>
      </c>
      <c r="G18" s="21" t="str">
        <f aca="false">IFERROR(let(ldate,maxifs('Daily Dispatch'!$A$7:$A$506,'Daily Dispatch'!$A$7:$A$506,"&gt;0"),lqty,IFERROR(SUMIF('Daily Dispatch'!$A$7:$A$506,ldate,'Daily Dispatch'!M7:M506),0),datestr,IF(ldate=TODAY(),"Today",IF(ldate=TODAY()-1,"Yesterday",TEXT(ldate,"DD MMM"))),datestr&amp;" — "&amp;lqty&amp;" units"),"No data yet")</f>
        <v>No data yet</v>
      </c>
      <c r="H18" s="22" t="str">
        <f aca="false">IFERROR(IF(Ledger!I18=0,"⬜ Set Max Level",IF(Ledger!H18/Ledger!I18&gt;1,"✅ Above Target",IF(Ledger!H18/Ledger!I18&gt;=0.75,"✅ On Track",IF(Ledger!H18/Ledger!I18&gt;=0.5,"🟡 Watch",IF(Ledger!H18/Ledger!I18&gt;=0.25,"🔴 Low Stock","🔴 CRITICAL"))))),"—")</f>
        <v>⬜ Set Max Level</v>
      </c>
      <c r="I18" s="22" t="str">
        <f aca="false">IFERROR(IF(Ledger!I18=0,"—",IF(Ledger!H18&lt;Ledger!I18*0.25,"🔴 ORDER NOW",IF(Ledger!H18&lt;Ledger!I18*0.5,"⚠️ Plan Reorder","✅ OK"))),"—")</f>
        <v>—</v>
      </c>
    </row>
    <row r="19" customFormat="false" ht="13.8" hidden="false" customHeight="false" outlineLevel="0" collapsed="false"/>
    <row r="20" customFormat="false" ht="6" hidden="false" customHeight="true" outlineLevel="0" collapsed="false"/>
    <row r="21" customFormat="false" ht="19.5" hidden="false" customHeight="true" outlineLevel="0" collapsed="false">
      <c r="A21" s="23" t="s">
        <v>26</v>
      </c>
      <c r="B21" s="23"/>
      <c r="C21" s="23"/>
      <c r="D21" s="23"/>
      <c r="E21" s="23"/>
      <c r="F21" s="23"/>
      <c r="G21" s="23"/>
      <c r="H21" s="23"/>
      <c r="I21" s="23"/>
    </row>
    <row r="22" customFormat="false" ht="4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</row>
    <row r="23" customFormat="false" ht="19.5" hidden="false" customHeight="true" outlineLevel="0" collapsed="false">
      <c r="A23" s="24" t="s">
        <v>27</v>
      </c>
      <c r="B23" s="24"/>
      <c r="C23" s="24"/>
      <c r="D23" s="24"/>
      <c r="E23" s="24"/>
      <c r="F23" s="24"/>
      <c r="G23" s="24"/>
      <c r="H23" s="24"/>
      <c r="I23" s="24"/>
    </row>
  </sheetData>
  <mergeCells count="10">
    <mergeCell ref="A1:I1"/>
    <mergeCell ref="A2:I2"/>
    <mergeCell ref="A3:I3"/>
    <mergeCell ref="A4:C4"/>
    <mergeCell ref="D4:E4"/>
    <mergeCell ref="F4:G4"/>
    <mergeCell ref="H4:I4"/>
    <mergeCell ref="A21:I21"/>
    <mergeCell ref="A22:I22"/>
    <mergeCell ref="A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6B4A"/>
    <pageSetUpPr fitToPage="false"/>
  </sheetPr>
  <dimension ref="A1:S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7" min="3" style="0" width="11"/>
    <col collapsed="false" customWidth="true" hidden="false" outlineLevel="0" max="8" min="8" style="0" width="13"/>
    <col collapsed="false" customWidth="true" hidden="false" outlineLevel="0" max="13" min="9" style="0" width="11"/>
    <col collapsed="false" customWidth="true" hidden="false" outlineLevel="0" max="14" min="14" style="0" width="16"/>
    <col collapsed="false" customWidth="true" hidden="false" outlineLevel="0" max="19" min="15" style="0" width="11"/>
  </cols>
  <sheetData>
    <row r="1" customFormat="false" ht="36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27.75" hidden="false" customHeight="true" outlineLevel="0" collapsed="false">
      <c r="A4" s="4" t="s">
        <v>29</v>
      </c>
      <c r="B4" s="4"/>
      <c r="C4" s="4"/>
      <c r="D4" s="4"/>
      <c r="E4" s="4"/>
      <c r="F4" s="4"/>
      <c r="G4" s="4"/>
      <c r="H4" s="5" t="s">
        <v>30</v>
      </c>
      <c r="I4" s="5"/>
      <c r="J4" s="5"/>
      <c r="K4" s="5"/>
      <c r="L4" s="25" t="s">
        <v>31</v>
      </c>
      <c r="M4" s="25"/>
      <c r="N4" s="25"/>
      <c r="O4" s="7" t="s">
        <v>32</v>
      </c>
      <c r="P4" s="7"/>
      <c r="Q4" s="7"/>
      <c r="R4" s="6" t="s">
        <v>4</v>
      </c>
      <c r="S4" s="6"/>
    </row>
    <row r="5" customFormat="false" ht="3.75" hidden="false" customHeight="true" outlineLevel="0" collapsed="false"/>
    <row r="6" customFormat="false" ht="37.5" hidden="false" customHeight="true" outlineLevel="0" collapsed="false">
      <c r="A6" s="8" t="s">
        <v>6</v>
      </c>
      <c r="B6" s="8" t="s">
        <v>7</v>
      </c>
      <c r="C6" s="26" t="s">
        <v>33</v>
      </c>
      <c r="D6" s="8" t="s">
        <v>34</v>
      </c>
      <c r="E6" s="8" t="s">
        <v>35</v>
      </c>
      <c r="F6" s="8" t="s">
        <v>36</v>
      </c>
      <c r="G6" s="8" t="s">
        <v>37</v>
      </c>
      <c r="H6" s="9" t="s">
        <v>38</v>
      </c>
      <c r="I6" s="9" t="s">
        <v>39</v>
      </c>
      <c r="J6" s="9" t="s">
        <v>40</v>
      </c>
      <c r="K6" s="9" t="s">
        <v>5</v>
      </c>
      <c r="L6" s="27" t="s">
        <v>9</v>
      </c>
      <c r="M6" s="27" t="s">
        <v>10</v>
      </c>
      <c r="N6" s="27" t="s">
        <v>12</v>
      </c>
      <c r="O6" s="11" t="s">
        <v>41</v>
      </c>
      <c r="P6" s="11" t="s">
        <v>42</v>
      </c>
      <c r="Q6" s="11" t="s">
        <v>43</v>
      </c>
      <c r="R6" s="10" t="s">
        <v>44</v>
      </c>
      <c r="S6" s="10" t="s">
        <v>45</v>
      </c>
    </row>
    <row r="7" customFormat="false" ht="21.75" hidden="false" customHeight="true" outlineLevel="0" collapsed="false">
      <c r="A7" s="12" t="n">
        <v>1</v>
      </c>
      <c r="B7" s="13" t="s">
        <v>14</v>
      </c>
      <c r="C7" s="28" t="n">
        <v>0</v>
      </c>
      <c r="D7" s="12" t="n">
        <f aca="false">IFERROR(SUM('Stock In'!F:F),0)</f>
        <v>0</v>
      </c>
      <c r="E7" s="12" t="n">
        <f aca="false">IFERROR(SUM('Daily Dispatch'!B:B),0)</f>
        <v>0</v>
      </c>
      <c r="F7" s="29" t="n">
        <f aca="false">IFERROR(SUM('RTO Log'!B:B),0)</f>
        <v>0</v>
      </c>
      <c r="G7" s="30" t="n">
        <f aca="false">IFERROR(SUM('RTO Log'!C:C)+SUM('RTO Log'!D:D),0)</f>
        <v>0</v>
      </c>
      <c r="H7" s="14" t="n">
        <f aca="false">C7+D7+F7-G7-E7</f>
        <v>0</v>
      </c>
      <c r="I7" s="31"/>
      <c r="J7" s="18" t="str">
        <f aca="false">IFERROR(IF(I7=0,"—",TEXT(ROUND(H7/I7*100,1),"0.0")&amp;"%"),"—")</f>
        <v>—</v>
      </c>
      <c r="K7" s="18" t="str">
        <f aca="false">IFERROR(IF(I7=0,"⬜ Set Max Level",IF(H7/I7&gt;1,"✅ Above Target",IF(H7/I7&gt;=0.75,"✅ On Track",IF(H7/I7&gt;=0.5,"🟡 Watch",IF(H7/I7&gt;=0.25,"🔴 Low Stock","🔴 CRITICAL"))))),"—")</f>
        <v>⬜ Set Max Level</v>
      </c>
      <c r="L7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Dispatch'!B7:B506),0)</f>
        <v>0</v>
      </c>
      <c r="M7" s="15" t="n">
        <f aca="true">IFERROR(SUMPRODUCT((MONTH('Daily Dispatch'!$A$7:$A$506)=MONTH(TODAY()))*(YEAR('Daily Dispatch'!$A$7:$A$506)=YEAR(TODAY()))*ISNUMBER('Daily Dispatch'!$A$7:$A$506)*'Daily Dispatch'!B7:B506),0)</f>
        <v>0</v>
      </c>
      <c r="N7" s="17" t="str">
        <f aca="false">IFERROR(let(ldate,maxifs('Daily Dispatch'!$A$7:$A$506,'Daily Dispatch'!$A$7:$A$506,"&gt;0"),lqty,IFERROR(SUMIF('Daily Dispatch'!$A$7:$A$506,ldate,'Daily Dispatch'!B7:B506),0),datestr,IF(ldate=TODAY(),"Today",IF(ldate=TODAY()-1,"Yesterday",TEXT(ldate,"DD MMM"))),datestr&amp;" — "&amp;lqty&amp;" units"),"No data yet")</f>
        <v>No data yet</v>
      </c>
      <c r="O7" s="33" t="str">
        <f aca="false">IFERROR(IF(E7=0,"—",TEXT(ROUND((F7+G7)/E7*100,1),"0.0")&amp;"%"),"—")</f>
        <v>—</v>
      </c>
      <c r="P7" s="34" t="str">
        <f aca="false">IFERROR(IF(E7=0,"—",TEXT(ROUND(G7/E7*100,1),"0.0")&amp;"%"),"—")</f>
        <v>—</v>
      </c>
      <c r="Q7" s="35" t="n">
        <f aca="false">F7</f>
        <v>0</v>
      </c>
      <c r="R7" s="36" t="str">
        <f aca="false">IFERROR(IF(I7=0,"Set Max Level",MAX(0,I7-H7)),"—")</f>
        <v>Set Max Level</v>
      </c>
      <c r="S7" s="16" t="str">
        <f aca="false">IFERROR(IF(I7=0,"—",IF(H7&lt;I7*0.25,"🔴 ORDER NOW",IF(H7&lt;I7*0.5,"⚠️ Plan Reorder","✅ OK"))),"—")</f>
        <v>—</v>
      </c>
    </row>
    <row r="8" customFormat="false" ht="21.75" hidden="false" customHeight="true" outlineLevel="0" collapsed="false">
      <c r="A8" s="19" t="n">
        <v>2</v>
      </c>
      <c r="B8" s="20" t="s">
        <v>15</v>
      </c>
      <c r="C8" s="28" t="n">
        <v>0</v>
      </c>
      <c r="D8" s="19" t="n">
        <f aca="false">IFERROR(SUM('Stock In'!I:I),0)</f>
        <v>0</v>
      </c>
      <c r="E8" s="19" t="n">
        <f aca="false">IFERROR(SUM('Daily Dispatch'!C:C),0)</f>
        <v>0</v>
      </c>
      <c r="F8" s="37" t="n">
        <f aca="false">IFERROR(SUM('RTO Log'!E:E),0)</f>
        <v>0</v>
      </c>
      <c r="G8" s="38" t="n">
        <f aca="false">IFERROR(SUM('RTO Log'!F:F)+SUM('RTO Log'!G:G),0)</f>
        <v>0</v>
      </c>
      <c r="H8" s="14" t="n">
        <f aca="false">C8+D8+F8-G8-E8</f>
        <v>0</v>
      </c>
      <c r="I8" s="31"/>
      <c r="J8" s="22" t="str">
        <f aca="false">IFERROR(IF(I8=0,"—",TEXT(ROUND(H8/I8*100,1),"0.0")&amp;"%"),"—")</f>
        <v>—</v>
      </c>
      <c r="K8" s="22" t="str">
        <f aca="false">IFERROR(IF(I8=0,"⬜ Set Max Level",IF(H8/I8&gt;1,"✅ Above Target",IF(H8/I8&gt;=0.75,"✅ On Track",IF(H8/I8&gt;=0.5,"🟡 Watch",IF(H8/I8&gt;=0.25,"🔴 Low Stock","🔴 CRITICAL"))))),"—")</f>
        <v>⬜ Set Max Level</v>
      </c>
      <c r="L8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Dispatch'!C7:C506),0)</f>
        <v>0</v>
      </c>
      <c r="M8" s="15" t="n">
        <f aca="true">IFERROR(SUMPRODUCT((MONTH('Daily Dispatch'!$A$7:$A$506)=MONTH(TODAY()))*(YEAR('Daily Dispatch'!$A$7:$A$506)=YEAR(TODAY()))*ISNUMBER('Daily Dispatch'!$A$7:$A$506)*'Daily Dispatch'!C7:C506),0)</f>
        <v>0</v>
      </c>
      <c r="N8" s="21" t="str">
        <f aca="false">IFERROR(let(ldate,maxifs('Daily Dispatch'!$A$7:$A$506,'Daily Dispatch'!$A$7:$A$506,"&gt;0"),lqty,IFERROR(SUMIF('Daily Dispatch'!$A$7:$A$506,ldate,'Daily Dispatch'!C7:C506),0),datestr,IF(ldate=TODAY(),"Today",IF(ldate=TODAY()-1,"Yesterday",TEXT(ldate,"DD MMM"))),datestr&amp;" — "&amp;lqty&amp;" units"),"No data yet")</f>
        <v>No data yet</v>
      </c>
      <c r="O8" s="33" t="str">
        <f aca="false">IFERROR(IF(E8=0,"—",TEXT(ROUND((F8+G8)/E8*100,1),"0.0")&amp;"%"),"—")</f>
        <v>—</v>
      </c>
      <c r="P8" s="34" t="str">
        <f aca="false">IFERROR(IF(E8=0,"—",TEXT(ROUND(G8/E8*100,1),"0.0")&amp;"%"),"—")</f>
        <v>—</v>
      </c>
      <c r="Q8" s="35" t="n">
        <f aca="false">F8</f>
        <v>0</v>
      </c>
      <c r="R8" s="36" t="str">
        <f aca="false">IFERROR(IF(I8=0,"Set Max Level",MAX(0,I8-H8)),"—")</f>
        <v>Set Max Level</v>
      </c>
      <c r="S8" s="16" t="str">
        <f aca="false">IFERROR(IF(I8=0,"—",IF(H8&lt;I8*0.25,"🔴 ORDER NOW",IF(H8&lt;I8*0.5,"⚠️ Plan Reorder","✅ OK"))),"—")</f>
        <v>—</v>
      </c>
    </row>
    <row r="9" customFormat="false" ht="21.75" hidden="false" customHeight="true" outlineLevel="0" collapsed="false">
      <c r="A9" s="12" t="n">
        <v>3</v>
      </c>
      <c r="B9" s="13" t="s">
        <v>16</v>
      </c>
      <c r="C9" s="28" t="n">
        <v>0</v>
      </c>
      <c r="D9" s="12" t="n">
        <f aca="false">IFERROR(SUM('Stock In'!L:L),0)</f>
        <v>0</v>
      </c>
      <c r="E9" s="12" t="n">
        <f aca="false">IFERROR(SUM('Daily Dispatch'!D:D),0)</f>
        <v>0</v>
      </c>
      <c r="F9" s="29" t="n">
        <f aca="false">IFERROR(SUM('RTO Log'!H:H),0)</f>
        <v>0</v>
      </c>
      <c r="G9" s="30" t="n">
        <f aca="false">IFERROR(SUM('RTO Log'!I:I)+SUM('RTO Log'!J:J),0)</f>
        <v>0</v>
      </c>
      <c r="H9" s="14" t="n">
        <f aca="false">C9+D9+F9-G9-E9</f>
        <v>0</v>
      </c>
      <c r="I9" s="31"/>
      <c r="J9" s="18" t="str">
        <f aca="false">IFERROR(IF(I9=0,"—",TEXT(ROUND(H9/I9*100,1),"0.0")&amp;"%"),"—")</f>
        <v>—</v>
      </c>
      <c r="K9" s="18" t="str">
        <f aca="false">IFERROR(IF(I9=0,"⬜ Set Max Level",IF(H9/I9&gt;1,"✅ Above Target",IF(H9/I9&gt;=0.75,"✅ On Track",IF(H9/I9&gt;=0.5,"🟡 Watch",IF(H9/I9&gt;=0.25,"🔴 Low Stock","🔴 CRITICAL"))))),"—")</f>
        <v>⬜ Set Max Level</v>
      </c>
      <c r="L9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Dispatch'!D7:D506),0)</f>
        <v>0</v>
      </c>
      <c r="M9" s="15" t="n">
        <f aca="true">IFERROR(SUMPRODUCT((MONTH('Daily Dispatch'!$A$7:$A$506)=MONTH(TODAY()))*(YEAR('Daily Dispatch'!$A$7:$A$506)=YEAR(TODAY()))*ISNUMBER('Daily Dispatch'!$A$7:$A$506)*'Daily Dispatch'!D7:D506),0)</f>
        <v>0</v>
      </c>
      <c r="N9" s="17" t="str">
        <f aca="false">IFERROR(let(ldate,maxifs('Daily Dispatch'!$A$7:$A$506,'Daily Dispatch'!$A$7:$A$506,"&gt;0"),lqty,IFERROR(SUMIF('Daily Dispatch'!$A$7:$A$506,ldate,'Daily Dispatch'!D7:D506),0),datestr,IF(ldate=TODAY(),"Today",IF(ldate=TODAY()-1,"Yesterday",TEXT(ldate,"DD MMM"))),datestr&amp;" — "&amp;lqty&amp;" units"),"No data yet")</f>
        <v>No data yet</v>
      </c>
      <c r="O9" s="33" t="str">
        <f aca="false">IFERROR(IF(E9=0,"—",TEXT(ROUND((F9+G9)/E9*100,1),"0.0")&amp;"%"),"—")</f>
        <v>—</v>
      </c>
      <c r="P9" s="34" t="str">
        <f aca="false">IFERROR(IF(E9=0,"—",TEXT(ROUND(G9/E9*100,1),"0.0")&amp;"%"),"—")</f>
        <v>—</v>
      </c>
      <c r="Q9" s="35" t="n">
        <f aca="false">F9</f>
        <v>0</v>
      </c>
      <c r="R9" s="36" t="str">
        <f aca="false">IFERROR(IF(I9=0,"Set Max Level",MAX(0,I9-H9)),"—")</f>
        <v>Set Max Level</v>
      </c>
      <c r="S9" s="16" t="str">
        <f aca="false">IFERROR(IF(I9=0,"—",IF(H9&lt;I9*0.25,"🔴 ORDER NOW",IF(H9&lt;I9*0.5,"⚠️ Plan Reorder","✅ OK"))),"—")</f>
        <v>—</v>
      </c>
    </row>
    <row r="10" customFormat="false" ht="21.75" hidden="false" customHeight="true" outlineLevel="0" collapsed="false">
      <c r="A10" s="19" t="n">
        <v>4</v>
      </c>
      <c r="B10" s="20" t="s">
        <v>17</v>
      </c>
      <c r="C10" s="28" t="n">
        <v>0</v>
      </c>
      <c r="D10" s="19" t="n">
        <f aca="false">IFERROR(SUM('Stock In'!O:O),0)</f>
        <v>0</v>
      </c>
      <c r="E10" s="19" t="n">
        <f aca="false">IFERROR(SUM('Daily Dispatch'!E:E),0)</f>
        <v>0</v>
      </c>
      <c r="F10" s="37" t="n">
        <f aca="false">IFERROR(SUM('RTO Log'!K:K),0)</f>
        <v>0</v>
      </c>
      <c r="G10" s="38" t="n">
        <f aca="false">IFERROR(SUM('RTO Log'!L:L)+SUM('RTO Log'!M:M),0)</f>
        <v>0</v>
      </c>
      <c r="H10" s="14" t="n">
        <f aca="false">C10+D10+F10-G10-E10</f>
        <v>0</v>
      </c>
      <c r="I10" s="31"/>
      <c r="J10" s="22" t="str">
        <f aca="false">IFERROR(IF(I10=0,"—",TEXT(ROUND(H10/I10*100,1),"0.0")&amp;"%"),"—")</f>
        <v>—</v>
      </c>
      <c r="K10" s="22" t="str">
        <f aca="false">IFERROR(IF(I10=0,"⬜ Set Max Level",IF(H10/I10&gt;1,"✅ Above Target",IF(H10/I10&gt;=0.75,"✅ On Track",IF(H10/I10&gt;=0.5,"🟡 Watch",IF(H10/I10&gt;=0.25,"🔴 Low Stock","🔴 CRITICAL"))))),"—")</f>
        <v>⬜ Set Max Level</v>
      </c>
      <c r="L10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Dispatch'!E7:E506),0)</f>
        <v>0</v>
      </c>
      <c r="M10" s="15" t="n">
        <f aca="true">IFERROR(SUMPRODUCT((MONTH('Daily Dispatch'!$A$7:$A$506)=MONTH(TODAY()))*(YEAR('Daily Dispatch'!$A$7:$A$506)=YEAR(TODAY()))*ISNUMBER('Daily Dispatch'!$A$7:$A$506)*'Daily Dispatch'!E7:E506),0)</f>
        <v>0</v>
      </c>
      <c r="N10" s="21" t="str">
        <f aca="false">IFERROR(let(ldate,maxifs('Daily Dispatch'!$A$7:$A$506,'Daily Dispatch'!$A$7:$A$506,"&gt;0"),lqty,IFERROR(SUMIF('Daily Dispatch'!$A$7:$A$506,ldate,'Daily Dispatch'!E7:E506),0),datestr,IF(ldate=TODAY(),"Today",IF(ldate=TODAY()-1,"Yesterday",TEXT(ldate,"DD MMM"))),datestr&amp;" — "&amp;lqty&amp;" units"),"No data yet")</f>
        <v>No data yet</v>
      </c>
      <c r="O10" s="33" t="str">
        <f aca="false">IFERROR(IF(E10=0,"—",TEXT(ROUND((F10+G10)/E10*100,1),"0.0")&amp;"%"),"—")</f>
        <v>—</v>
      </c>
      <c r="P10" s="34" t="str">
        <f aca="false">IFERROR(IF(E10=0,"—",TEXT(ROUND(G10/E10*100,1),"0.0")&amp;"%"),"—")</f>
        <v>—</v>
      </c>
      <c r="Q10" s="35" t="n">
        <f aca="false">F10</f>
        <v>0</v>
      </c>
      <c r="R10" s="36" t="str">
        <f aca="false">IFERROR(IF(I10=0,"Set Max Level",MAX(0,I10-H10)),"—")</f>
        <v>Set Max Level</v>
      </c>
      <c r="S10" s="16" t="str">
        <f aca="false">IFERROR(IF(I10=0,"—",IF(H10&lt;I10*0.25,"🔴 ORDER NOW",IF(H10&lt;I10*0.5,"⚠️ Plan Reorder","✅ OK"))),"—")</f>
        <v>—</v>
      </c>
    </row>
    <row r="11" customFormat="false" ht="21.75" hidden="false" customHeight="true" outlineLevel="0" collapsed="false">
      <c r="A11" s="12" t="n">
        <v>5</v>
      </c>
      <c r="B11" s="13" t="s">
        <v>18</v>
      </c>
      <c r="C11" s="28" t="n">
        <v>0</v>
      </c>
      <c r="D11" s="12" t="n">
        <f aca="false">IFERROR(SUM('Stock In'!R:R),0)</f>
        <v>0</v>
      </c>
      <c r="E11" s="12" t="n">
        <f aca="false">IFERROR(SUM('Daily Dispatch'!F:F),0)</f>
        <v>0</v>
      </c>
      <c r="F11" s="29" t="n">
        <f aca="false">IFERROR(SUM('RTO Log'!N:N),0)</f>
        <v>0</v>
      </c>
      <c r="G11" s="30" t="n">
        <f aca="false">IFERROR(SUM('RTO Log'!O:O)+SUM('RTO Log'!P:P),0)</f>
        <v>0</v>
      </c>
      <c r="H11" s="14" t="n">
        <f aca="false">C11+D11+F11-G11-E11</f>
        <v>0</v>
      </c>
      <c r="I11" s="31"/>
      <c r="J11" s="18" t="str">
        <f aca="false">IFERROR(IF(I11=0,"—",TEXT(ROUND(H11/I11*100,1),"0.0")&amp;"%"),"—")</f>
        <v>—</v>
      </c>
      <c r="K11" s="18" t="str">
        <f aca="false">IFERROR(IF(I11=0,"⬜ Set Max Level",IF(H11/I11&gt;1,"✅ Above Target",IF(H11/I11&gt;=0.75,"✅ On Track",IF(H11/I11&gt;=0.5,"🟡 Watch",IF(H11/I11&gt;=0.25,"🔴 Low Stock","🔴 CRITICAL"))))),"—")</f>
        <v>⬜ Set Max Level</v>
      </c>
      <c r="L11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Dispatch'!F7:F506),0)</f>
        <v>0</v>
      </c>
      <c r="M11" s="15" t="n">
        <f aca="true">IFERROR(SUMPRODUCT((MONTH('Daily Dispatch'!$A$7:$A$506)=MONTH(TODAY()))*(YEAR('Daily Dispatch'!$A$7:$A$506)=YEAR(TODAY()))*ISNUMBER('Daily Dispatch'!$A$7:$A$506)*'Daily Dispatch'!F7:F506),0)</f>
        <v>0</v>
      </c>
      <c r="N11" s="17" t="str">
        <f aca="false">IFERROR(let(ldate,maxifs('Daily Dispatch'!$A$7:$A$506,'Daily Dispatch'!$A$7:$A$506,"&gt;0"),lqty,IFERROR(SUMIF('Daily Dispatch'!$A$7:$A$506,ldate,'Daily Dispatch'!F7:F506),0),datestr,IF(ldate=TODAY(),"Today",IF(ldate=TODAY()-1,"Yesterday",TEXT(ldate,"DD MMM"))),datestr&amp;" — "&amp;lqty&amp;" units"),"No data yet")</f>
        <v>No data yet</v>
      </c>
      <c r="O11" s="33" t="str">
        <f aca="false">IFERROR(IF(E11=0,"—",TEXT(ROUND((F11+G11)/E11*100,1),"0.0")&amp;"%"),"—")</f>
        <v>—</v>
      </c>
      <c r="P11" s="34" t="str">
        <f aca="false">IFERROR(IF(E11=0,"—",TEXT(ROUND(G11/E11*100,1),"0.0")&amp;"%"),"—")</f>
        <v>—</v>
      </c>
      <c r="Q11" s="35" t="n">
        <f aca="false">F11</f>
        <v>0</v>
      </c>
      <c r="R11" s="36" t="str">
        <f aca="false">IFERROR(IF(I11=0,"Set Max Level",MAX(0,I11-H11)),"—")</f>
        <v>Set Max Level</v>
      </c>
      <c r="S11" s="16" t="str">
        <f aca="false">IFERROR(IF(I11=0,"—",IF(H11&lt;I11*0.25,"🔴 ORDER NOW",IF(H11&lt;I11*0.5,"⚠️ Plan Reorder","✅ OK"))),"—")</f>
        <v>—</v>
      </c>
    </row>
    <row r="12" customFormat="false" ht="21.75" hidden="false" customHeight="true" outlineLevel="0" collapsed="false">
      <c r="A12" s="19" t="n">
        <v>6</v>
      </c>
      <c r="B12" s="20" t="s">
        <v>19</v>
      </c>
      <c r="C12" s="28" t="n">
        <v>0</v>
      </c>
      <c r="D12" s="19" t="n">
        <f aca="false">IFERROR(SUM('Stock In'!U:U),0)</f>
        <v>0</v>
      </c>
      <c r="E12" s="19" t="n">
        <f aca="false">IFERROR(SUM('Daily Dispatch'!G:G),0)</f>
        <v>0</v>
      </c>
      <c r="F12" s="37" t="n">
        <f aca="false">IFERROR(SUM('RTO Log'!Q:Q),0)</f>
        <v>0</v>
      </c>
      <c r="G12" s="38" t="n">
        <f aca="false">IFERROR(SUM('RTO Log'!R:R)+SUM('RTO Log'!S:S),0)</f>
        <v>0</v>
      </c>
      <c r="H12" s="14" t="n">
        <f aca="false">C12+D12+F12-G12-E12</f>
        <v>0</v>
      </c>
      <c r="I12" s="31"/>
      <c r="J12" s="22" t="str">
        <f aca="false">IFERROR(IF(I12=0,"—",TEXT(ROUND(H12/I12*100,1),"0.0")&amp;"%"),"—")</f>
        <v>—</v>
      </c>
      <c r="K12" s="22" t="str">
        <f aca="false">IFERROR(IF(I12=0,"⬜ Set Max Level",IF(H12/I12&gt;1,"✅ Above Target",IF(H12/I12&gt;=0.75,"✅ On Track",IF(H12/I12&gt;=0.5,"🟡 Watch",IF(H12/I12&gt;=0.25,"🔴 Low Stock","🔴 CRITICAL"))))),"—")</f>
        <v>⬜ Set Max Level</v>
      </c>
      <c r="L12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Dispatch'!G7:G506),0)</f>
        <v>0</v>
      </c>
      <c r="M12" s="15" t="n">
        <f aca="true">IFERROR(SUMPRODUCT((MONTH('Daily Dispatch'!$A$7:$A$506)=MONTH(TODAY()))*(YEAR('Daily Dispatch'!$A$7:$A$506)=YEAR(TODAY()))*ISNUMBER('Daily Dispatch'!$A$7:$A$506)*'Daily Dispatch'!G7:G506),0)</f>
        <v>0</v>
      </c>
      <c r="N12" s="21" t="str">
        <f aca="false">IFERROR(let(ldate,maxifs('Daily Dispatch'!$A$7:$A$506,'Daily Dispatch'!$A$7:$A$506,"&gt;0"),lqty,IFERROR(SUMIF('Daily Dispatch'!$A$7:$A$506,ldate,'Daily Dispatch'!G7:G506),0),datestr,IF(ldate=TODAY(),"Today",IF(ldate=TODAY()-1,"Yesterday",TEXT(ldate,"DD MMM"))),datestr&amp;" — "&amp;lqty&amp;" units"),"No data yet")</f>
        <v>No data yet</v>
      </c>
      <c r="O12" s="33" t="str">
        <f aca="false">IFERROR(IF(E12=0,"—",TEXT(ROUND((F12+G12)/E12*100,1),"0.0")&amp;"%"),"—")</f>
        <v>—</v>
      </c>
      <c r="P12" s="34" t="str">
        <f aca="false">IFERROR(IF(E12=0,"—",TEXT(ROUND(G12/E12*100,1),"0.0")&amp;"%"),"—")</f>
        <v>—</v>
      </c>
      <c r="Q12" s="35" t="n">
        <f aca="false">F12</f>
        <v>0</v>
      </c>
      <c r="R12" s="36" t="str">
        <f aca="false">IFERROR(IF(I12=0,"Set Max Level",MAX(0,I12-H12)),"—")</f>
        <v>Set Max Level</v>
      </c>
      <c r="S12" s="16" t="str">
        <f aca="false">IFERROR(IF(I12=0,"—",IF(H12&lt;I12*0.25,"🔴 ORDER NOW",IF(H12&lt;I12*0.5,"⚠️ Plan Reorder","✅ OK"))),"—")</f>
        <v>—</v>
      </c>
    </row>
    <row r="13" customFormat="false" ht="21.75" hidden="false" customHeight="true" outlineLevel="0" collapsed="false">
      <c r="A13" s="12" t="n">
        <v>7</v>
      </c>
      <c r="B13" s="13" t="s">
        <v>20</v>
      </c>
      <c r="C13" s="28" t="n">
        <v>0</v>
      </c>
      <c r="D13" s="12" t="n">
        <f aca="false">IFERROR(SUM('Stock In'!X:X),0)</f>
        <v>0</v>
      </c>
      <c r="E13" s="12" t="n">
        <f aca="false">IFERROR(SUM('Daily Dispatch'!H:H),0)</f>
        <v>0</v>
      </c>
      <c r="F13" s="29" t="n">
        <f aca="false">IFERROR(SUM('RTO Log'!T:T),0)</f>
        <v>0</v>
      </c>
      <c r="G13" s="30" t="n">
        <f aca="false">IFERROR(SUM('RTO Log'!U:U)+SUM('RTO Log'!V:V),0)</f>
        <v>0</v>
      </c>
      <c r="H13" s="14" t="n">
        <f aca="false">C13+D13+F13-G13-E13</f>
        <v>0</v>
      </c>
      <c r="I13" s="31"/>
      <c r="J13" s="18" t="str">
        <f aca="false">IFERROR(IF(I13=0,"—",TEXT(ROUND(H13/I13*100,1),"0.0")&amp;"%"),"—")</f>
        <v>—</v>
      </c>
      <c r="K13" s="18" t="str">
        <f aca="false">IFERROR(IF(I13=0,"⬜ Set Max Level",IF(H13/I13&gt;1,"✅ Above Target",IF(H13/I13&gt;=0.75,"✅ On Track",IF(H13/I13&gt;=0.5,"🟡 Watch",IF(H13/I13&gt;=0.25,"🔴 Low Stock","🔴 CRITICAL"))))),"—")</f>
        <v>⬜ Set Max Level</v>
      </c>
      <c r="L13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Dispatch'!H7:H506),0)</f>
        <v>0</v>
      </c>
      <c r="M13" s="15" t="n">
        <f aca="true">IFERROR(SUMPRODUCT((MONTH('Daily Dispatch'!$A$7:$A$506)=MONTH(TODAY()))*(YEAR('Daily Dispatch'!$A$7:$A$506)=YEAR(TODAY()))*ISNUMBER('Daily Dispatch'!$A$7:$A$506)*'Daily Dispatch'!H7:H506),0)</f>
        <v>0</v>
      </c>
      <c r="N13" s="17" t="str">
        <f aca="false">IFERROR(let(ldate,maxifs('Daily Dispatch'!$A$7:$A$506,'Daily Dispatch'!$A$7:$A$506,"&gt;0"),lqty,IFERROR(SUMIF('Daily Dispatch'!$A$7:$A$506,ldate,'Daily Dispatch'!H7:H506),0),datestr,IF(ldate=TODAY(),"Today",IF(ldate=TODAY()-1,"Yesterday",TEXT(ldate,"DD MMM"))),datestr&amp;" — "&amp;lqty&amp;" units"),"No data yet")</f>
        <v>No data yet</v>
      </c>
      <c r="O13" s="33" t="str">
        <f aca="false">IFERROR(IF(E13=0,"—",TEXT(ROUND((F13+G13)/E13*100,1),"0.0")&amp;"%"),"—")</f>
        <v>—</v>
      </c>
      <c r="P13" s="34" t="str">
        <f aca="false">IFERROR(IF(E13=0,"—",TEXT(ROUND(G13/E13*100,1),"0.0")&amp;"%"),"—")</f>
        <v>—</v>
      </c>
      <c r="Q13" s="35" t="n">
        <f aca="false">F13</f>
        <v>0</v>
      </c>
      <c r="R13" s="36" t="str">
        <f aca="false">IFERROR(IF(I13=0,"Set Max Level",MAX(0,I13-H13)),"—")</f>
        <v>Set Max Level</v>
      </c>
      <c r="S13" s="16" t="str">
        <f aca="false">IFERROR(IF(I13=0,"—",IF(H13&lt;I13*0.25,"🔴 ORDER NOW",IF(H13&lt;I13*0.5,"⚠️ Plan Reorder","✅ OK"))),"—")</f>
        <v>—</v>
      </c>
    </row>
    <row r="14" customFormat="false" ht="21.75" hidden="false" customHeight="true" outlineLevel="0" collapsed="false">
      <c r="A14" s="19" t="n">
        <v>8</v>
      </c>
      <c r="B14" s="20" t="s">
        <v>21</v>
      </c>
      <c r="C14" s="28" t="n">
        <v>0</v>
      </c>
      <c r="D14" s="19" t="n">
        <f aca="false">IFERROR(SUM('Stock In'!AA:AA),0)</f>
        <v>0</v>
      </c>
      <c r="E14" s="19" t="n">
        <f aca="false">IFERROR(SUM('Daily Dispatch'!I:I),0)</f>
        <v>0</v>
      </c>
      <c r="F14" s="37" t="n">
        <f aca="false">IFERROR(SUM('RTO Log'!W:W),0)</f>
        <v>0</v>
      </c>
      <c r="G14" s="38" t="n">
        <f aca="false">IFERROR(SUM('RTO Log'!X:X)+SUM('RTO Log'!Y:Y),0)</f>
        <v>0</v>
      </c>
      <c r="H14" s="14" t="n">
        <f aca="false">C14+D14+F14-G14-E14</f>
        <v>0</v>
      </c>
      <c r="I14" s="31"/>
      <c r="J14" s="22" t="str">
        <f aca="false">IFERROR(IF(I14=0,"—",TEXT(ROUND(H14/I14*100,1),"0.0")&amp;"%"),"—")</f>
        <v>—</v>
      </c>
      <c r="K14" s="22" t="str">
        <f aca="false">IFERROR(IF(I14=0,"⬜ Set Max Level",IF(H14/I14&gt;1,"✅ Above Target",IF(H14/I14&gt;=0.75,"✅ On Track",IF(H14/I14&gt;=0.5,"🟡 Watch",IF(H14/I14&gt;=0.25,"🔴 Low Stock","🔴 CRITICAL"))))),"—")</f>
        <v>⬜ Set Max Level</v>
      </c>
      <c r="L14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Dispatch'!I7:I506),0)</f>
        <v>0</v>
      </c>
      <c r="M14" s="15" t="n">
        <f aca="true">IFERROR(SUMPRODUCT((MONTH('Daily Dispatch'!$A$7:$A$506)=MONTH(TODAY()))*(YEAR('Daily Dispatch'!$A$7:$A$506)=YEAR(TODAY()))*ISNUMBER('Daily Dispatch'!$A$7:$A$506)*'Daily Dispatch'!I7:I506),0)</f>
        <v>0</v>
      </c>
      <c r="N14" s="21" t="str">
        <f aca="false">IFERROR(let(ldate,maxifs('Daily Dispatch'!$A$7:$A$506,'Daily Dispatch'!$A$7:$A$506,"&gt;0"),lqty,IFERROR(SUMIF('Daily Dispatch'!$A$7:$A$506,ldate,'Daily Dispatch'!I7:I506),0),datestr,IF(ldate=TODAY(),"Today",IF(ldate=TODAY()-1,"Yesterday",TEXT(ldate,"DD MMM"))),datestr&amp;" — "&amp;lqty&amp;" units"),"No data yet")</f>
        <v>No data yet</v>
      </c>
      <c r="O14" s="33" t="str">
        <f aca="false">IFERROR(IF(E14=0,"—",TEXT(ROUND((F14+G14)/E14*100,1),"0.0")&amp;"%"),"—")</f>
        <v>—</v>
      </c>
      <c r="P14" s="34" t="str">
        <f aca="false">IFERROR(IF(E14=0,"—",TEXT(ROUND(G14/E14*100,1),"0.0")&amp;"%"),"—")</f>
        <v>—</v>
      </c>
      <c r="Q14" s="35" t="n">
        <f aca="false">F14</f>
        <v>0</v>
      </c>
      <c r="R14" s="36" t="str">
        <f aca="false">IFERROR(IF(I14=0,"Set Max Level",MAX(0,I14-H14)),"—")</f>
        <v>Set Max Level</v>
      </c>
      <c r="S14" s="16" t="str">
        <f aca="false">IFERROR(IF(I14=0,"—",IF(H14&lt;I14*0.25,"🔴 ORDER NOW",IF(H14&lt;I14*0.5,"⚠️ Plan Reorder","✅ OK"))),"—")</f>
        <v>—</v>
      </c>
    </row>
    <row r="15" customFormat="false" ht="21.75" hidden="false" customHeight="true" outlineLevel="0" collapsed="false">
      <c r="A15" s="12" t="n">
        <v>9</v>
      </c>
      <c r="B15" s="13" t="s">
        <v>22</v>
      </c>
      <c r="C15" s="28" t="n">
        <v>0</v>
      </c>
      <c r="D15" s="12" t="n">
        <f aca="false">IFERROR(SUM('Stock In'!AD:AD),0)</f>
        <v>0</v>
      </c>
      <c r="E15" s="12" t="n">
        <f aca="false">IFERROR(SUM('Daily Dispatch'!J:J),0)</f>
        <v>0</v>
      </c>
      <c r="F15" s="29" t="n">
        <f aca="false">IFERROR(SUM('RTO Log'!Z:Z),0)</f>
        <v>0</v>
      </c>
      <c r="G15" s="30" t="n">
        <f aca="false">IFERROR(SUM('RTO Log'!AA:AA)+SUM('RTO Log'!AB:AB),0)</f>
        <v>0</v>
      </c>
      <c r="H15" s="14" t="n">
        <f aca="false">C15+D15+F15-G15-E15</f>
        <v>0</v>
      </c>
      <c r="I15" s="31"/>
      <c r="J15" s="18" t="str">
        <f aca="false">IFERROR(IF(I15=0,"—",TEXT(ROUND(H15/I15*100,1),"0.0")&amp;"%"),"—")</f>
        <v>—</v>
      </c>
      <c r="K15" s="18" t="str">
        <f aca="false">IFERROR(IF(I15=0,"⬜ Set Max Level",IF(H15/I15&gt;1,"✅ Above Target",IF(H15/I15&gt;=0.75,"✅ On Track",IF(H15/I15&gt;=0.5,"🟡 Watch",IF(H15/I15&gt;=0.25,"🔴 Low Stock","🔴 CRITICAL"))))),"—")</f>
        <v>⬜ Set Max Level</v>
      </c>
      <c r="L15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Dispatch'!J7:J506),0)</f>
        <v>0</v>
      </c>
      <c r="M15" s="15" t="n">
        <f aca="true">IFERROR(SUMPRODUCT((MONTH('Daily Dispatch'!$A$7:$A$506)=MONTH(TODAY()))*(YEAR('Daily Dispatch'!$A$7:$A$506)=YEAR(TODAY()))*ISNUMBER('Daily Dispatch'!$A$7:$A$506)*'Daily Dispatch'!J7:J506),0)</f>
        <v>0</v>
      </c>
      <c r="N15" s="17" t="str">
        <f aca="false">IFERROR(let(ldate,maxifs('Daily Dispatch'!$A$7:$A$506,'Daily Dispatch'!$A$7:$A$506,"&gt;0"),lqty,IFERROR(SUMIF('Daily Dispatch'!$A$7:$A$506,ldate,'Daily Dispatch'!J7:J506),0),datestr,IF(ldate=TODAY(),"Today",IF(ldate=TODAY()-1,"Yesterday",TEXT(ldate,"DD MMM"))),datestr&amp;" — "&amp;lqty&amp;" units"),"No data yet")</f>
        <v>No data yet</v>
      </c>
      <c r="O15" s="33" t="str">
        <f aca="false">IFERROR(IF(E15=0,"—",TEXT(ROUND((F15+G15)/E15*100,1),"0.0")&amp;"%"),"—")</f>
        <v>—</v>
      </c>
      <c r="P15" s="34" t="str">
        <f aca="false">IFERROR(IF(E15=0,"—",TEXT(ROUND(G15/E15*100,1),"0.0")&amp;"%"),"—")</f>
        <v>—</v>
      </c>
      <c r="Q15" s="35" t="n">
        <f aca="false">F15</f>
        <v>0</v>
      </c>
      <c r="R15" s="36" t="str">
        <f aca="false">IFERROR(IF(I15=0,"Set Max Level",MAX(0,I15-H15)),"—")</f>
        <v>Set Max Level</v>
      </c>
      <c r="S15" s="16" t="str">
        <f aca="false">IFERROR(IF(I15=0,"—",IF(H15&lt;I15*0.25,"🔴 ORDER NOW",IF(H15&lt;I15*0.5,"⚠️ Plan Reorder","✅ OK"))),"—")</f>
        <v>—</v>
      </c>
    </row>
    <row r="16" customFormat="false" ht="21.75" hidden="false" customHeight="true" outlineLevel="0" collapsed="false">
      <c r="A16" s="19" t="n">
        <v>10</v>
      </c>
      <c r="B16" s="20" t="s">
        <v>23</v>
      </c>
      <c r="C16" s="28" t="n">
        <v>0</v>
      </c>
      <c r="D16" s="19" t="n">
        <f aca="false">IFERROR(SUM('Stock In'!AG:AG),0)</f>
        <v>0</v>
      </c>
      <c r="E16" s="19" t="n">
        <f aca="false">IFERROR(SUM('Daily Dispatch'!K:K),0)</f>
        <v>0</v>
      </c>
      <c r="F16" s="37" t="n">
        <f aca="false">IFERROR(SUM('RTO Log'!AC:AC),0)</f>
        <v>0</v>
      </c>
      <c r="G16" s="38" t="n">
        <f aca="false">IFERROR(SUM('RTO Log'!AD:AD)+SUM('RTO Log'!AE:AE),0)</f>
        <v>0</v>
      </c>
      <c r="H16" s="14" t="n">
        <f aca="false">C16+D16+F16-G16-E16</f>
        <v>0</v>
      </c>
      <c r="I16" s="31"/>
      <c r="J16" s="22" t="str">
        <f aca="false">IFERROR(IF(I16=0,"—",TEXT(ROUND(H16/I16*100,1),"0.0")&amp;"%"),"—")</f>
        <v>—</v>
      </c>
      <c r="K16" s="22" t="str">
        <f aca="false">IFERROR(IF(I16=0,"⬜ Set Max Level",IF(H16/I16&gt;1,"✅ Above Target",IF(H16/I16&gt;=0.75,"✅ On Track",IF(H16/I16&gt;=0.5,"🟡 Watch",IF(H16/I16&gt;=0.25,"🔴 Low Stock","🔴 CRITICAL"))))),"—")</f>
        <v>⬜ Set Max Level</v>
      </c>
      <c r="L16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Dispatch'!K7:K506),0)</f>
        <v>0</v>
      </c>
      <c r="M16" s="15" t="n">
        <f aca="true">IFERROR(SUMPRODUCT((MONTH('Daily Dispatch'!$A$7:$A$506)=MONTH(TODAY()))*(YEAR('Daily Dispatch'!$A$7:$A$506)=YEAR(TODAY()))*ISNUMBER('Daily Dispatch'!$A$7:$A$506)*'Daily Dispatch'!K7:K506),0)</f>
        <v>0</v>
      </c>
      <c r="N16" s="21" t="str">
        <f aca="false">IFERROR(let(ldate,maxifs('Daily Dispatch'!$A$7:$A$506,'Daily Dispatch'!$A$7:$A$506,"&gt;0"),lqty,IFERROR(SUMIF('Daily Dispatch'!$A$7:$A$506,ldate,'Daily Dispatch'!K7:K506),0),datestr,IF(ldate=TODAY(),"Today",IF(ldate=TODAY()-1,"Yesterday",TEXT(ldate,"DD MMM"))),datestr&amp;" — "&amp;lqty&amp;" units"),"No data yet")</f>
        <v>No data yet</v>
      </c>
      <c r="O16" s="33" t="str">
        <f aca="false">IFERROR(IF(E16=0,"—",TEXT(ROUND((F16+G16)/E16*100,1),"0.0")&amp;"%"),"—")</f>
        <v>—</v>
      </c>
      <c r="P16" s="34" t="str">
        <f aca="false">IFERROR(IF(E16=0,"—",TEXT(ROUND(G16/E16*100,1),"0.0")&amp;"%"),"—")</f>
        <v>—</v>
      </c>
      <c r="Q16" s="35" t="n">
        <f aca="false">F16</f>
        <v>0</v>
      </c>
      <c r="R16" s="36" t="str">
        <f aca="false">IFERROR(IF(I16=0,"Set Max Level",MAX(0,I16-H16)),"—")</f>
        <v>Set Max Level</v>
      </c>
      <c r="S16" s="16" t="str">
        <f aca="false">IFERROR(IF(I16=0,"—",IF(H16&lt;I16*0.25,"🔴 ORDER NOW",IF(H16&lt;I16*0.5,"⚠️ Plan Reorder","✅ OK"))),"—")</f>
        <v>—</v>
      </c>
    </row>
    <row r="17" customFormat="false" ht="21.75" hidden="false" customHeight="true" outlineLevel="0" collapsed="false">
      <c r="A17" s="12" t="n">
        <v>11</v>
      </c>
      <c r="B17" s="13" t="s">
        <v>24</v>
      </c>
      <c r="C17" s="28" t="n">
        <v>0</v>
      </c>
      <c r="D17" s="12" t="n">
        <f aca="false">IFERROR(SUM('Stock In'!AJ:AJ),0)</f>
        <v>0</v>
      </c>
      <c r="E17" s="12" t="n">
        <f aca="false">IFERROR(SUM('Daily Dispatch'!L:L),0)</f>
        <v>0</v>
      </c>
      <c r="F17" s="29" t="n">
        <f aca="false">IFERROR(SUM('RTO Log'!AF:AF),0)</f>
        <v>0</v>
      </c>
      <c r="G17" s="30" t="n">
        <f aca="false">IFERROR(SUM('RTO Log'!AG:AG)+SUM('RTO Log'!AH:AH),0)</f>
        <v>0</v>
      </c>
      <c r="H17" s="14" t="n">
        <f aca="false">C17+D17+F17-G17-E17</f>
        <v>0</v>
      </c>
      <c r="I17" s="31"/>
      <c r="J17" s="18" t="str">
        <f aca="false">IFERROR(IF(I17=0,"—",TEXT(ROUND(H17/I17*100,1),"0.0")&amp;"%"),"—")</f>
        <v>—</v>
      </c>
      <c r="K17" s="18" t="str">
        <f aca="false">IFERROR(IF(I17=0,"⬜ Set Max Level",IF(H17/I17&gt;1,"✅ Above Target",IF(H17/I17&gt;=0.75,"✅ On Track",IF(H17/I17&gt;=0.5,"🟡 Watch",IF(H17/I17&gt;=0.25,"🔴 Low Stock","🔴 CRITICAL"))))),"—")</f>
        <v>⬜ Set Max Level</v>
      </c>
      <c r="L17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Dispatch'!L7:L506),0)</f>
        <v>0</v>
      </c>
      <c r="M17" s="15" t="n">
        <f aca="true">IFERROR(SUMPRODUCT((MONTH('Daily Dispatch'!$A$7:$A$506)=MONTH(TODAY()))*(YEAR('Daily Dispatch'!$A$7:$A$506)=YEAR(TODAY()))*ISNUMBER('Daily Dispatch'!$A$7:$A$506)*'Daily Dispatch'!L7:L506),0)</f>
        <v>0</v>
      </c>
      <c r="N17" s="17" t="str">
        <f aca="false">IFERROR(let(ldate,maxifs('Daily Dispatch'!$A$7:$A$506,'Daily Dispatch'!$A$7:$A$506,"&gt;0"),lqty,IFERROR(SUMIF('Daily Dispatch'!$A$7:$A$506,ldate,'Daily Dispatch'!L7:L506),0),datestr,IF(ldate=TODAY(),"Today",IF(ldate=TODAY()-1,"Yesterday",TEXT(ldate,"DD MMM"))),datestr&amp;" — "&amp;lqty&amp;" units"),"No data yet")</f>
        <v>No data yet</v>
      </c>
      <c r="O17" s="33" t="str">
        <f aca="false">IFERROR(IF(E17=0,"—",TEXT(ROUND((F17+G17)/E17*100,1),"0.0")&amp;"%"),"—")</f>
        <v>—</v>
      </c>
      <c r="P17" s="34" t="str">
        <f aca="false">IFERROR(IF(E17=0,"—",TEXT(ROUND(G17/E17*100,1),"0.0")&amp;"%"),"—")</f>
        <v>—</v>
      </c>
      <c r="Q17" s="35" t="n">
        <f aca="false">F17</f>
        <v>0</v>
      </c>
      <c r="R17" s="36" t="str">
        <f aca="false">IFERROR(IF(I17=0,"Set Max Level",MAX(0,I17-H17)),"—")</f>
        <v>Set Max Level</v>
      </c>
      <c r="S17" s="16" t="str">
        <f aca="false">IFERROR(IF(I17=0,"—",IF(H17&lt;I17*0.25,"🔴 ORDER NOW",IF(H17&lt;I17*0.5,"⚠️ Plan Reorder","✅ OK"))),"—")</f>
        <v>—</v>
      </c>
    </row>
    <row r="18" customFormat="false" ht="21.75" hidden="false" customHeight="true" outlineLevel="0" collapsed="false">
      <c r="A18" s="19" t="n">
        <v>12</v>
      </c>
      <c r="B18" s="20" t="s">
        <v>25</v>
      </c>
      <c r="C18" s="28" t="n">
        <v>0</v>
      </c>
      <c r="D18" s="19" t="n">
        <f aca="false">IFERROR(SUM('Stock In'!AM:AM),0)</f>
        <v>0</v>
      </c>
      <c r="E18" s="19" t="n">
        <f aca="false">IFERROR(SUM('Daily Dispatch'!M:M),0)</f>
        <v>0</v>
      </c>
      <c r="F18" s="37" t="n">
        <f aca="false">IFERROR(SUM('RTO Log'!AI:AI),0)</f>
        <v>0</v>
      </c>
      <c r="G18" s="38" t="n">
        <f aca="false">IFERROR(SUM('RTO Log'!AJ:AJ)+SUM('RTO Log'!AK:AK),0)</f>
        <v>0</v>
      </c>
      <c r="H18" s="14" t="n">
        <f aca="false">C18+D18+F18-G18-E18</f>
        <v>0</v>
      </c>
      <c r="I18" s="31"/>
      <c r="J18" s="22" t="str">
        <f aca="false">IFERROR(IF(I18=0,"—",TEXT(ROUND(H18/I18*100,1),"0.0")&amp;"%"),"—")</f>
        <v>—</v>
      </c>
      <c r="K18" s="22" t="str">
        <f aca="false">IFERROR(IF(I18=0,"⬜ Set Max Level",IF(H18/I18&gt;1,"✅ Above Target",IF(H18/I18&gt;=0.75,"✅ On Track",IF(H18/I18&gt;=0.5,"🟡 Watch",IF(H18/I18&gt;=0.25,"🔴 Low Stock","🔴 CRITICAL"))))),"—")</f>
        <v>⬜ Set Max Level</v>
      </c>
      <c r="L18" s="32" t="n">
        <f aca="true">IFERROR(SUMPRODUCT((MONTH('Daily Dispatch'!$A$7:$A$506)=IF(MONTH(TODAY())=1,12,MONTH(TODAY())-1))*(YEAR('Daily Dispatch'!$A$7:$A$506)=IF(MONTH(TODAY())=1,YEAR(TODAY())-1,YEAR(TODAY())))*ISNUMBER('Daily Dispatch'!$A$7:$A$506)*'Daily Dispatch'!M7:M506),0)</f>
        <v>0</v>
      </c>
      <c r="M18" s="15" t="n">
        <f aca="true">IFERROR(SUMPRODUCT((MONTH('Daily Dispatch'!$A$7:$A$506)=MONTH(TODAY()))*(YEAR('Daily Dispatch'!$A$7:$A$506)=YEAR(TODAY()))*ISNUMBER('Daily Dispatch'!$A$7:$A$506)*'Daily Dispatch'!M7:M506),0)</f>
        <v>0</v>
      </c>
      <c r="N18" s="21" t="str">
        <f aca="false">IFERROR(let(ldate,maxifs('Daily Dispatch'!$A$7:$A$506,'Daily Dispatch'!$A$7:$A$506,"&gt;0"),lqty,IFERROR(SUMIF('Daily Dispatch'!$A$7:$A$506,ldate,'Daily Dispatch'!M7:M506),0),datestr,IF(ldate=TODAY(),"Today",IF(ldate=TODAY()-1,"Yesterday",TEXT(ldate,"DD MMM"))),datestr&amp;" — "&amp;lqty&amp;" units"),"No data yet")</f>
        <v>No data yet</v>
      </c>
      <c r="O18" s="33" t="str">
        <f aca="false">IFERROR(IF(E18=0,"—",TEXT(ROUND((F18+G18)/E18*100,1),"0.0")&amp;"%"),"—")</f>
        <v>—</v>
      </c>
      <c r="P18" s="34" t="str">
        <f aca="false">IFERROR(IF(E18=0,"—",TEXT(ROUND(G18/E18*100,1),"0.0")&amp;"%"),"—")</f>
        <v>—</v>
      </c>
      <c r="Q18" s="35" t="n">
        <f aca="false">F18</f>
        <v>0</v>
      </c>
      <c r="R18" s="36" t="str">
        <f aca="false">IFERROR(IF(I18=0,"Set Max Level",MAX(0,I18-H18)),"—")</f>
        <v>Set Max Level</v>
      </c>
      <c r="S18" s="16" t="str">
        <f aca="false">IFERROR(IF(I18=0,"—",IF(H18&lt;I18*0.25,"🔴 ORDER NOW",IF(H18&lt;I18*0.5,"⚠️ Plan Reorder","✅ OK"))),"—")</f>
        <v>—</v>
      </c>
    </row>
    <row r="19" customFormat="false" ht="13.8" hidden="false" customHeight="false" outlineLevel="0" collapsed="false"/>
    <row r="20" customFormat="false" ht="6" hidden="false" customHeight="true" outlineLevel="0" collapsed="false"/>
    <row r="21" customFormat="false" ht="19.5" hidden="false" customHeight="true" outlineLevel="0" collapsed="false">
      <c r="A21" s="39" t="s">
        <v>46</v>
      </c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</row>
    <row r="22" customFormat="false" ht="4.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customFormat="false" ht="19.5" hidden="false" customHeight="true" outlineLevel="0" collapsed="false">
      <c r="A23" s="24" t="s">
        <v>27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</sheetData>
  <mergeCells count="11">
    <mergeCell ref="A1:S1"/>
    <mergeCell ref="A2:S2"/>
    <mergeCell ref="A3:S3"/>
    <mergeCell ref="A4:G4"/>
    <mergeCell ref="H4:K4"/>
    <mergeCell ref="L4:N4"/>
    <mergeCell ref="O4:Q4"/>
    <mergeCell ref="R4:S4"/>
    <mergeCell ref="A21:S21"/>
    <mergeCell ref="A22:S22"/>
    <mergeCell ref="A23:S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5FA5"/>
    <pageSetUpPr fitToPage="false"/>
  </sheetPr>
  <dimension ref="A1:N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0"/>
  </cols>
  <sheetData>
    <row r="1" customFormat="false" ht="36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4" hidden="false" customHeight="true" outlineLevel="0" collapsed="false">
      <c r="A4" s="4" t="s">
        <v>48</v>
      </c>
      <c r="B4" s="4"/>
      <c r="C4" s="4"/>
      <c r="D4" s="4"/>
      <c r="E4" s="4"/>
      <c r="F4" s="5" t="s">
        <v>49</v>
      </c>
      <c r="G4" s="5"/>
      <c r="H4" s="5"/>
      <c r="I4" s="5"/>
      <c r="J4" s="7" t="s">
        <v>50</v>
      </c>
      <c r="K4" s="7"/>
      <c r="L4" s="7"/>
      <c r="M4" s="7"/>
      <c r="N4" s="7"/>
    </row>
    <row r="5" customFormat="false" ht="3.75" hidden="false" customHeight="true" outlineLevel="0" collapsed="false"/>
    <row r="6" customFormat="false" ht="30" hidden="false" customHeight="true" outlineLevel="0" collapsed="false">
      <c r="A6" s="8" t="s">
        <v>51</v>
      </c>
      <c r="B6" s="9" t="s">
        <v>52</v>
      </c>
      <c r="C6" s="9" t="s">
        <v>53</v>
      </c>
      <c r="D6" s="9" t="s">
        <v>54</v>
      </c>
      <c r="E6" s="9" t="s">
        <v>55</v>
      </c>
      <c r="F6" s="9" t="s">
        <v>56</v>
      </c>
      <c r="G6" s="9" t="s">
        <v>57</v>
      </c>
      <c r="H6" s="9" t="s">
        <v>58</v>
      </c>
      <c r="I6" s="9" t="s">
        <v>58</v>
      </c>
      <c r="J6" s="9" t="s">
        <v>58</v>
      </c>
      <c r="K6" s="9" t="s">
        <v>59</v>
      </c>
      <c r="L6" s="9" t="s">
        <v>60</v>
      </c>
      <c r="M6" s="9" t="s">
        <v>25</v>
      </c>
      <c r="N6" s="10" t="s">
        <v>61</v>
      </c>
    </row>
    <row r="7" customFormat="false" ht="21.75" hidden="false" customHeight="true" outlineLevel="0" collapsed="false">
      <c r="A7" s="40" t="s">
        <v>62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customFormat="false" ht="15.75" hidden="false" customHeight="true" outlineLevel="0" collapsed="false">
      <c r="A8" s="41"/>
      <c r="B8" s="42" t="str">
        <f aca="false">IF(A8="","",IFERROR(SUMIF('Daily Dispatch'!$A:$A,A8,'Daily Dispatch'!B:B),0))</f>
        <v/>
      </c>
      <c r="C8" s="42" t="str">
        <f aca="false">IF(A8="","",IFERROR(SUMIF('Daily Dispatch'!$A:$A,A8,'Daily Dispatch'!C:C),0))</f>
        <v/>
      </c>
      <c r="D8" s="42" t="str">
        <f aca="false">IF(A8="","",IFERROR(SUMIF('Daily Dispatch'!$A:$A,A8,'Daily Dispatch'!D:D),0))</f>
        <v/>
      </c>
      <c r="E8" s="42" t="str">
        <f aca="false">IF(A8="","",IFERROR(SUMIF('Daily Dispatch'!$A:$A,A8,'Daily Dispatch'!E:E),0))</f>
        <v/>
      </c>
      <c r="F8" s="42" t="str">
        <f aca="false">IF(A8="","",IFERROR(SUMIF('Daily Dispatch'!$A:$A,A8,'Daily Dispatch'!F:F),0))</f>
        <v/>
      </c>
      <c r="G8" s="42" t="str">
        <f aca="false">IF(A8="","",IFERROR(SUMIF('Daily Dispatch'!$A:$A,A8,'Daily Dispatch'!G:G),0))</f>
        <v/>
      </c>
      <c r="H8" s="42" t="str">
        <f aca="false">IF(A8="","",IFERROR(SUMIF('Daily Dispatch'!$A:$A,A8,'Daily Dispatch'!H:H),0))</f>
        <v/>
      </c>
      <c r="I8" s="42" t="str">
        <f aca="false">IF(A8="","",IFERROR(SUMIF('Daily Dispatch'!$A:$A,A8,'Daily Dispatch'!I:I),0))</f>
        <v/>
      </c>
      <c r="J8" s="42" t="str">
        <f aca="false">IF(A8="","",IFERROR(SUMIF('Daily Dispatch'!$A:$A,A8,'Daily Dispatch'!J:J),0))</f>
        <v/>
      </c>
      <c r="K8" s="42" t="str">
        <f aca="false">IF(A8="","",IFERROR(SUMIF('Daily Dispatch'!$A:$A,A8,'Daily Dispatch'!K:K),0))</f>
        <v/>
      </c>
      <c r="L8" s="42" t="str">
        <f aca="false">IF(A8="","",IFERROR(SUMIF('Daily Dispatch'!$A:$A,A8,'Daily Dispatch'!L:L),0))</f>
        <v/>
      </c>
      <c r="M8" s="42" t="str">
        <f aca="false">IF(A8="","",IFERROR(SUMIF('Daily Dispatch'!$A:$A,A8,'Daily Dispatch'!M:M),0))</f>
        <v/>
      </c>
      <c r="N8" s="43" t="str">
        <f aca="false">IF(A8="","",SUM(B8:M8))</f>
        <v/>
      </c>
    </row>
    <row r="9" customFormat="false" ht="15.75" hidden="false" customHeight="true" outlineLevel="0" collapsed="false">
      <c r="A9" s="44"/>
      <c r="B9" s="45" t="str">
        <f aca="false">IF(A9="","",IFERROR(SUMIF('Daily Dispatch'!$A:$A,A9,'Daily Dispatch'!B:B),0))</f>
        <v/>
      </c>
      <c r="C9" s="45" t="str">
        <f aca="false">IF(A9="","",IFERROR(SUMIF('Daily Dispatch'!$A:$A,A9,'Daily Dispatch'!C:C),0))</f>
        <v/>
      </c>
      <c r="D9" s="45" t="str">
        <f aca="false">IF(A9="","",IFERROR(SUMIF('Daily Dispatch'!$A:$A,A9,'Daily Dispatch'!D:D),0))</f>
        <v/>
      </c>
      <c r="E9" s="45" t="str">
        <f aca="false">IF(A9="","",IFERROR(SUMIF('Daily Dispatch'!$A:$A,A9,'Daily Dispatch'!E:E),0))</f>
        <v/>
      </c>
      <c r="F9" s="45" t="str">
        <f aca="false">IF(A9="","",IFERROR(SUMIF('Daily Dispatch'!$A:$A,A9,'Daily Dispatch'!F:F),0))</f>
        <v/>
      </c>
      <c r="G9" s="45" t="str">
        <f aca="false">IF(A9="","",IFERROR(SUMIF('Daily Dispatch'!$A:$A,A9,'Daily Dispatch'!G:G),0))</f>
        <v/>
      </c>
      <c r="H9" s="45" t="str">
        <f aca="false">IF(A9="","",IFERROR(SUMIF('Daily Dispatch'!$A:$A,A9,'Daily Dispatch'!H:H),0))</f>
        <v/>
      </c>
      <c r="I9" s="45" t="str">
        <f aca="false">IF(A9="","",IFERROR(SUMIF('Daily Dispatch'!$A:$A,A9,'Daily Dispatch'!I:I),0))</f>
        <v/>
      </c>
      <c r="J9" s="45" t="str">
        <f aca="false">IF(A9="","",IFERROR(SUMIF('Daily Dispatch'!$A:$A,A9,'Daily Dispatch'!J:J),0))</f>
        <v/>
      </c>
      <c r="K9" s="45" t="str">
        <f aca="false">IF(A9="","",IFERROR(SUMIF('Daily Dispatch'!$A:$A,A9,'Daily Dispatch'!K:K),0))</f>
        <v/>
      </c>
      <c r="L9" s="45" t="str">
        <f aca="false">IF(A9="","",IFERROR(SUMIF('Daily Dispatch'!$A:$A,A9,'Daily Dispatch'!L:L),0))</f>
        <v/>
      </c>
      <c r="M9" s="45" t="str">
        <f aca="false">IF(A9="","",IFERROR(SUMIF('Daily Dispatch'!$A:$A,A9,'Daily Dispatch'!M:M),0))</f>
        <v/>
      </c>
      <c r="N9" s="46" t="str">
        <f aca="false">IF(A9="","",SUM(B9:M9))</f>
        <v/>
      </c>
    </row>
    <row r="10" customFormat="false" ht="15.75" hidden="false" customHeight="true" outlineLevel="0" collapsed="false">
      <c r="A10" s="41"/>
      <c r="B10" s="42" t="str">
        <f aca="false">IF(A10="","",IFERROR(SUMIF('Daily Dispatch'!$A:$A,A10,'Daily Dispatch'!B:B),0))</f>
        <v/>
      </c>
      <c r="C10" s="42" t="str">
        <f aca="false">IF(A10="","",IFERROR(SUMIF('Daily Dispatch'!$A:$A,A10,'Daily Dispatch'!C:C),0))</f>
        <v/>
      </c>
      <c r="D10" s="42" t="str">
        <f aca="false">IF(A10="","",IFERROR(SUMIF('Daily Dispatch'!$A:$A,A10,'Daily Dispatch'!D:D),0))</f>
        <v/>
      </c>
      <c r="E10" s="42" t="str">
        <f aca="false">IF(A10="","",IFERROR(SUMIF('Daily Dispatch'!$A:$A,A10,'Daily Dispatch'!E:E),0))</f>
        <v/>
      </c>
      <c r="F10" s="42" t="str">
        <f aca="false">IF(A10="","",IFERROR(SUMIF('Daily Dispatch'!$A:$A,A10,'Daily Dispatch'!F:F),0))</f>
        <v/>
      </c>
      <c r="G10" s="42" t="str">
        <f aca="false">IF(A10="","",IFERROR(SUMIF('Daily Dispatch'!$A:$A,A10,'Daily Dispatch'!G:G),0))</f>
        <v/>
      </c>
      <c r="H10" s="42" t="str">
        <f aca="false">IF(A10="","",IFERROR(SUMIF('Daily Dispatch'!$A:$A,A10,'Daily Dispatch'!H:H),0))</f>
        <v/>
      </c>
      <c r="I10" s="42" t="str">
        <f aca="false">IF(A10="","",IFERROR(SUMIF('Daily Dispatch'!$A:$A,A10,'Daily Dispatch'!I:I),0))</f>
        <v/>
      </c>
      <c r="J10" s="42" t="str">
        <f aca="false">IF(A10="","",IFERROR(SUMIF('Daily Dispatch'!$A:$A,A10,'Daily Dispatch'!J:J),0))</f>
        <v/>
      </c>
      <c r="K10" s="42" t="str">
        <f aca="false">IF(A10="","",IFERROR(SUMIF('Daily Dispatch'!$A:$A,A10,'Daily Dispatch'!K:K),0))</f>
        <v/>
      </c>
      <c r="L10" s="42" t="str">
        <f aca="false">IF(A10="","",IFERROR(SUMIF('Daily Dispatch'!$A:$A,A10,'Daily Dispatch'!L:L),0))</f>
        <v/>
      </c>
      <c r="M10" s="42" t="str">
        <f aca="false">IF(A10="","",IFERROR(SUMIF('Daily Dispatch'!$A:$A,A10,'Daily Dispatch'!M:M),0))</f>
        <v/>
      </c>
      <c r="N10" s="43" t="str">
        <f aca="false">IF(A10="","",SUM(B10:M10))</f>
        <v/>
      </c>
    </row>
    <row r="11" customFormat="false" ht="15.75" hidden="false" customHeight="true" outlineLevel="0" collapsed="false">
      <c r="A11" s="44"/>
      <c r="B11" s="45" t="str">
        <f aca="false">IF(A11="","",IFERROR(SUMIF('Daily Dispatch'!$A:$A,A11,'Daily Dispatch'!B:B),0))</f>
        <v/>
      </c>
      <c r="C11" s="45" t="str">
        <f aca="false">IF(A11="","",IFERROR(SUMIF('Daily Dispatch'!$A:$A,A11,'Daily Dispatch'!C:C),0))</f>
        <v/>
      </c>
      <c r="D11" s="45" t="str">
        <f aca="false">IF(A11="","",IFERROR(SUMIF('Daily Dispatch'!$A:$A,A11,'Daily Dispatch'!D:D),0))</f>
        <v/>
      </c>
      <c r="E11" s="45" t="str">
        <f aca="false">IF(A11="","",IFERROR(SUMIF('Daily Dispatch'!$A:$A,A11,'Daily Dispatch'!E:E),0))</f>
        <v/>
      </c>
      <c r="F11" s="45" t="str">
        <f aca="false">IF(A11="","",IFERROR(SUMIF('Daily Dispatch'!$A:$A,A11,'Daily Dispatch'!F:F),0))</f>
        <v/>
      </c>
      <c r="G11" s="45" t="str">
        <f aca="false">IF(A11="","",IFERROR(SUMIF('Daily Dispatch'!$A:$A,A11,'Daily Dispatch'!G:G),0))</f>
        <v/>
      </c>
      <c r="H11" s="45" t="str">
        <f aca="false">IF(A11="","",IFERROR(SUMIF('Daily Dispatch'!$A:$A,A11,'Daily Dispatch'!H:H),0))</f>
        <v/>
      </c>
      <c r="I11" s="45" t="str">
        <f aca="false">IF(A11="","",IFERROR(SUMIF('Daily Dispatch'!$A:$A,A11,'Daily Dispatch'!I:I),0))</f>
        <v/>
      </c>
      <c r="J11" s="45" t="str">
        <f aca="false">IF(A11="","",IFERROR(SUMIF('Daily Dispatch'!$A:$A,A11,'Daily Dispatch'!J:J),0))</f>
        <v/>
      </c>
      <c r="K11" s="45" t="str">
        <f aca="false">IF(A11="","",IFERROR(SUMIF('Daily Dispatch'!$A:$A,A11,'Daily Dispatch'!K:K),0))</f>
        <v/>
      </c>
      <c r="L11" s="45" t="str">
        <f aca="false">IF(A11="","",IFERROR(SUMIF('Daily Dispatch'!$A:$A,A11,'Daily Dispatch'!L:L),0))</f>
        <v/>
      </c>
      <c r="M11" s="45" t="str">
        <f aca="false">IF(A11="","",IFERROR(SUMIF('Daily Dispatch'!$A:$A,A11,'Daily Dispatch'!M:M),0))</f>
        <v/>
      </c>
      <c r="N11" s="46" t="str">
        <f aca="false">IF(A11="","",SUM(B11:M11))</f>
        <v/>
      </c>
    </row>
    <row r="12" customFormat="false" ht="15.75" hidden="false" customHeight="true" outlineLevel="0" collapsed="false">
      <c r="A12" s="41"/>
      <c r="B12" s="42" t="str">
        <f aca="false">IF(A12="","",IFERROR(SUMIF('Daily Dispatch'!$A:$A,A12,'Daily Dispatch'!B:B),0))</f>
        <v/>
      </c>
      <c r="C12" s="42" t="str">
        <f aca="false">IF(A12="","",IFERROR(SUMIF('Daily Dispatch'!$A:$A,A12,'Daily Dispatch'!C:C),0))</f>
        <v/>
      </c>
      <c r="D12" s="42" t="str">
        <f aca="false">IF(A12="","",IFERROR(SUMIF('Daily Dispatch'!$A:$A,A12,'Daily Dispatch'!D:D),0))</f>
        <v/>
      </c>
      <c r="E12" s="42" t="str">
        <f aca="false">IF(A12="","",IFERROR(SUMIF('Daily Dispatch'!$A:$A,A12,'Daily Dispatch'!E:E),0))</f>
        <v/>
      </c>
      <c r="F12" s="42" t="str">
        <f aca="false">IF(A12="","",IFERROR(SUMIF('Daily Dispatch'!$A:$A,A12,'Daily Dispatch'!F:F),0))</f>
        <v/>
      </c>
      <c r="G12" s="42" t="str">
        <f aca="false">IF(A12="","",IFERROR(SUMIF('Daily Dispatch'!$A:$A,A12,'Daily Dispatch'!G:G),0))</f>
        <v/>
      </c>
      <c r="H12" s="42" t="str">
        <f aca="false">IF(A12="","",IFERROR(SUMIF('Daily Dispatch'!$A:$A,A12,'Daily Dispatch'!H:H),0))</f>
        <v/>
      </c>
      <c r="I12" s="42" t="str">
        <f aca="false">IF(A12="","",IFERROR(SUMIF('Daily Dispatch'!$A:$A,A12,'Daily Dispatch'!I:I),0))</f>
        <v/>
      </c>
      <c r="J12" s="42" t="str">
        <f aca="false">IF(A12="","",IFERROR(SUMIF('Daily Dispatch'!$A:$A,A12,'Daily Dispatch'!J:J),0))</f>
        <v/>
      </c>
      <c r="K12" s="42" t="str">
        <f aca="false">IF(A12="","",IFERROR(SUMIF('Daily Dispatch'!$A:$A,A12,'Daily Dispatch'!K:K),0))</f>
        <v/>
      </c>
      <c r="L12" s="42" t="str">
        <f aca="false">IF(A12="","",IFERROR(SUMIF('Daily Dispatch'!$A:$A,A12,'Daily Dispatch'!L:L),0))</f>
        <v/>
      </c>
      <c r="M12" s="42" t="str">
        <f aca="false">IF(A12="","",IFERROR(SUMIF('Daily Dispatch'!$A:$A,A12,'Daily Dispatch'!M:M),0))</f>
        <v/>
      </c>
      <c r="N12" s="43" t="str">
        <f aca="false">IF(A12="","",SUM(B12:M12))</f>
        <v/>
      </c>
    </row>
    <row r="13" customFormat="false" ht="15.75" hidden="false" customHeight="true" outlineLevel="0" collapsed="false">
      <c r="A13" s="44"/>
      <c r="B13" s="45" t="str">
        <f aca="false">IF(A13="","",IFERROR(SUMIF('Daily Dispatch'!$A:$A,A13,'Daily Dispatch'!B:B),0))</f>
        <v/>
      </c>
      <c r="C13" s="45" t="str">
        <f aca="false">IF(A13="","",IFERROR(SUMIF('Daily Dispatch'!$A:$A,A13,'Daily Dispatch'!C:C),0))</f>
        <v/>
      </c>
      <c r="D13" s="45" t="str">
        <f aca="false">IF(A13="","",IFERROR(SUMIF('Daily Dispatch'!$A:$A,A13,'Daily Dispatch'!D:D),0))</f>
        <v/>
      </c>
      <c r="E13" s="45" t="str">
        <f aca="false">IF(A13="","",IFERROR(SUMIF('Daily Dispatch'!$A:$A,A13,'Daily Dispatch'!E:E),0))</f>
        <v/>
      </c>
      <c r="F13" s="45" t="str">
        <f aca="false">IF(A13="","",IFERROR(SUMIF('Daily Dispatch'!$A:$A,A13,'Daily Dispatch'!F:F),0))</f>
        <v/>
      </c>
      <c r="G13" s="45" t="str">
        <f aca="false">IF(A13="","",IFERROR(SUMIF('Daily Dispatch'!$A:$A,A13,'Daily Dispatch'!G:G),0))</f>
        <v/>
      </c>
      <c r="H13" s="45" t="str">
        <f aca="false">IF(A13="","",IFERROR(SUMIF('Daily Dispatch'!$A:$A,A13,'Daily Dispatch'!H:H),0))</f>
        <v/>
      </c>
      <c r="I13" s="45" t="str">
        <f aca="false">IF(A13="","",IFERROR(SUMIF('Daily Dispatch'!$A:$A,A13,'Daily Dispatch'!I:I),0))</f>
        <v/>
      </c>
      <c r="J13" s="45" t="str">
        <f aca="false">IF(A13="","",IFERROR(SUMIF('Daily Dispatch'!$A:$A,A13,'Daily Dispatch'!J:J),0))</f>
        <v/>
      </c>
      <c r="K13" s="45" t="str">
        <f aca="false">IF(A13="","",IFERROR(SUMIF('Daily Dispatch'!$A:$A,A13,'Daily Dispatch'!K:K),0))</f>
        <v/>
      </c>
      <c r="L13" s="45" t="str">
        <f aca="false">IF(A13="","",IFERROR(SUMIF('Daily Dispatch'!$A:$A,A13,'Daily Dispatch'!L:L),0))</f>
        <v/>
      </c>
      <c r="M13" s="45" t="str">
        <f aca="false">IF(A13="","",IFERROR(SUMIF('Daily Dispatch'!$A:$A,A13,'Daily Dispatch'!M:M),0))</f>
        <v/>
      </c>
      <c r="N13" s="46" t="str">
        <f aca="false">IF(A13="","",SUM(B13:M13))</f>
        <v/>
      </c>
    </row>
    <row r="14" customFormat="false" ht="15.75" hidden="false" customHeight="true" outlineLevel="0" collapsed="false">
      <c r="A14" s="41"/>
      <c r="B14" s="42" t="str">
        <f aca="false">IF(A14="","",IFERROR(SUMIF('Daily Dispatch'!$A:$A,A14,'Daily Dispatch'!B:B),0))</f>
        <v/>
      </c>
      <c r="C14" s="42" t="str">
        <f aca="false">IF(A14="","",IFERROR(SUMIF('Daily Dispatch'!$A:$A,A14,'Daily Dispatch'!C:C),0))</f>
        <v/>
      </c>
      <c r="D14" s="42" t="str">
        <f aca="false">IF(A14="","",IFERROR(SUMIF('Daily Dispatch'!$A:$A,A14,'Daily Dispatch'!D:D),0))</f>
        <v/>
      </c>
      <c r="E14" s="42" t="str">
        <f aca="false">IF(A14="","",IFERROR(SUMIF('Daily Dispatch'!$A:$A,A14,'Daily Dispatch'!E:E),0))</f>
        <v/>
      </c>
      <c r="F14" s="42" t="str">
        <f aca="false">IF(A14="","",IFERROR(SUMIF('Daily Dispatch'!$A:$A,A14,'Daily Dispatch'!F:F),0))</f>
        <v/>
      </c>
      <c r="G14" s="42" t="str">
        <f aca="false">IF(A14="","",IFERROR(SUMIF('Daily Dispatch'!$A:$A,A14,'Daily Dispatch'!G:G),0))</f>
        <v/>
      </c>
      <c r="H14" s="42" t="str">
        <f aca="false">IF(A14="","",IFERROR(SUMIF('Daily Dispatch'!$A:$A,A14,'Daily Dispatch'!H:H),0))</f>
        <v/>
      </c>
      <c r="I14" s="42" t="str">
        <f aca="false">IF(A14="","",IFERROR(SUMIF('Daily Dispatch'!$A:$A,A14,'Daily Dispatch'!I:I),0))</f>
        <v/>
      </c>
      <c r="J14" s="42" t="str">
        <f aca="false">IF(A14="","",IFERROR(SUMIF('Daily Dispatch'!$A:$A,A14,'Daily Dispatch'!J:J),0))</f>
        <v/>
      </c>
      <c r="K14" s="42" t="str">
        <f aca="false">IF(A14="","",IFERROR(SUMIF('Daily Dispatch'!$A:$A,A14,'Daily Dispatch'!K:K),0))</f>
        <v/>
      </c>
      <c r="L14" s="42" t="str">
        <f aca="false">IF(A14="","",IFERROR(SUMIF('Daily Dispatch'!$A:$A,A14,'Daily Dispatch'!L:L),0))</f>
        <v/>
      </c>
      <c r="M14" s="42" t="str">
        <f aca="false">IF(A14="","",IFERROR(SUMIF('Daily Dispatch'!$A:$A,A14,'Daily Dispatch'!M:M),0))</f>
        <v/>
      </c>
      <c r="N14" s="43" t="str">
        <f aca="false">IF(A14="","",SUM(B14:M14))</f>
        <v/>
      </c>
    </row>
    <row r="15" customFormat="false" ht="15.75" hidden="false" customHeight="true" outlineLevel="0" collapsed="false">
      <c r="A15" s="44"/>
      <c r="B15" s="45" t="str">
        <f aca="false">IF(A15="","",IFERROR(SUMIF('Daily Dispatch'!$A:$A,A15,'Daily Dispatch'!B:B),0))</f>
        <v/>
      </c>
      <c r="C15" s="45" t="str">
        <f aca="false">IF(A15="","",IFERROR(SUMIF('Daily Dispatch'!$A:$A,A15,'Daily Dispatch'!C:C),0))</f>
        <v/>
      </c>
      <c r="D15" s="45" t="str">
        <f aca="false">IF(A15="","",IFERROR(SUMIF('Daily Dispatch'!$A:$A,A15,'Daily Dispatch'!D:D),0))</f>
        <v/>
      </c>
      <c r="E15" s="45" t="str">
        <f aca="false">IF(A15="","",IFERROR(SUMIF('Daily Dispatch'!$A:$A,A15,'Daily Dispatch'!E:E),0))</f>
        <v/>
      </c>
      <c r="F15" s="45" t="str">
        <f aca="false">IF(A15="","",IFERROR(SUMIF('Daily Dispatch'!$A:$A,A15,'Daily Dispatch'!F:F),0))</f>
        <v/>
      </c>
      <c r="G15" s="45" t="str">
        <f aca="false">IF(A15="","",IFERROR(SUMIF('Daily Dispatch'!$A:$A,A15,'Daily Dispatch'!G:G),0))</f>
        <v/>
      </c>
      <c r="H15" s="45" t="str">
        <f aca="false">IF(A15="","",IFERROR(SUMIF('Daily Dispatch'!$A:$A,A15,'Daily Dispatch'!H:H),0))</f>
        <v/>
      </c>
      <c r="I15" s="45" t="str">
        <f aca="false">IF(A15="","",IFERROR(SUMIF('Daily Dispatch'!$A:$A,A15,'Daily Dispatch'!I:I),0))</f>
        <v/>
      </c>
      <c r="J15" s="45" t="str">
        <f aca="false">IF(A15="","",IFERROR(SUMIF('Daily Dispatch'!$A:$A,A15,'Daily Dispatch'!J:J),0))</f>
        <v/>
      </c>
      <c r="K15" s="45" t="str">
        <f aca="false">IF(A15="","",IFERROR(SUMIF('Daily Dispatch'!$A:$A,A15,'Daily Dispatch'!K:K),0))</f>
        <v/>
      </c>
      <c r="L15" s="45" t="str">
        <f aca="false">IF(A15="","",IFERROR(SUMIF('Daily Dispatch'!$A:$A,A15,'Daily Dispatch'!L:L),0))</f>
        <v/>
      </c>
      <c r="M15" s="45" t="str">
        <f aca="false">IF(A15="","",IFERROR(SUMIF('Daily Dispatch'!$A:$A,A15,'Daily Dispatch'!M:M),0))</f>
        <v/>
      </c>
      <c r="N15" s="46" t="str">
        <f aca="false">IF(A15="","",SUM(B15:M15))</f>
        <v/>
      </c>
    </row>
    <row r="16" customFormat="false" ht="15.75" hidden="false" customHeight="true" outlineLevel="0" collapsed="false">
      <c r="A16" s="41"/>
      <c r="B16" s="42" t="str">
        <f aca="false">IF(A16="","",IFERROR(SUMIF('Daily Dispatch'!$A:$A,A16,'Daily Dispatch'!B:B),0))</f>
        <v/>
      </c>
      <c r="C16" s="42" t="str">
        <f aca="false">IF(A16="","",IFERROR(SUMIF('Daily Dispatch'!$A:$A,A16,'Daily Dispatch'!C:C),0))</f>
        <v/>
      </c>
      <c r="D16" s="42" t="str">
        <f aca="false">IF(A16="","",IFERROR(SUMIF('Daily Dispatch'!$A:$A,A16,'Daily Dispatch'!D:D),0))</f>
        <v/>
      </c>
      <c r="E16" s="42" t="str">
        <f aca="false">IF(A16="","",IFERROR(SUMIF('Daily Dispatch'!$A:$A,A16,'Daily Dispatch'!E:E),0))</f>
        <v/>
      </c>
      <c r="F16" s="42" t="str">
        <f aca="false">IF(A16="","",IFERROR(SUMIF('Daily Dispatch'!$A:$A,A16,'Daily Dispatch'!F:F),0))</f>
        <v/>
      </c>
      <c r="G16" s="42" t="str">
        <f aca="false">IF(A16="","",IFERROR(SUMIF('Daily Dispatch'!$A:$A,A16,'Daily Dispatch'!G:G),0))</f>
        <v/>
      </c>
      <c r="H16" s="42" t="str">
        <f aca="false">IF(A16="","",IFERROR(SUMIF('Daily Dispatch'!$A:$A,A16,'Daily Dispatch'!H:H),0))</f>
        <v/>
      </c>
      <c r="I16" s="42" t="str">
        <f aca="false">IF(A16="","",IFERROR(SUMIF('Daily Dispatch'!$A:$A,A16,'Daily Dispatch'!I:I),0))</f>
        <v/>
      </c>
      <c r="J16" s="42" t="str">
        <f aca="false">IF(A16="","",IFERROR(SUMIF('Daily Dispatch'!$A:$A,A16,'Daily Dispatch'!J:J),0))</f>
        <v/>
      </c>
      <c r="K16" s="42" t="str">
        <f aca="false">IF(A16="","",IFERROR(SUMIF('Daily Dispatch'!$A:$A,A16,'Daily Dispatch'!K:K),0))</f>
        <v/>
      </c>
      <c r="L16" s="42" t="str">
        <f aca="false">IF(A16="","",IFERROR(SUMIF('Daily Dispatch'!$A:$A,A16,'Daily Dispatch'!L:L),0))</f>
        <v/>
      </c>
      <c r="M16" s="42" t="str">
        <f aca="false">IF(A16="","",IFERROR(SUMIF('Daily Dispatch'!$A:$A,A16,'Daily Dispatch'!M:M),0))</f>
        <v/>
      </c>
      <c r="N16" s="43" t="str">
        <f aca="false">IF(A16="","",SUM(B16:M16))</f>
        <v/>
      </c>
    </row>
    <row r="17" customFormat="false" ht="15.75" hidden="false" customHeight="true" outlineLevel="0" collapsed="false">
      <c r="A17" s="44"/>
      <c r="B17" s="45" t="str">
        <f aca="false">IF(A17="","",IFERROR(SUMIF('Daily Dispatch'!$A:$A,A17,'Daily Dispatch'!B:B),0))</f>
        <v/>
      </c>
      <c r="C17" s="45" t="str">
        <f aca="false">IF(A17="","",IFERROR(SUMIF('Daily Dispatch'!$A:$A,A17,'Daily Dispatch'!C:C),0))</f>
        <v/>
      </c>
      <c r="D17" s="45" t="str">
        <f aca="false">IF(A17="","",IFERROR(SUMIF('Daily Dispatch'!$A:$A,A17,'Daily Dispatch'!D:D),0))</f>
        <v/>
      </c>
      <c r="E17" s="45" t="str">
        <f aca="false">IF(A17="","",IFERROR(SUMIF('Daily Dispatch'!$A:$A,A17,'Daily Dispatch'!E:E),0))</f>
        <v/>
      </c>
      <c r="F17" s="45" t="str">
        <f aca="false">IF(A17="","",IFERROR(SUMIF('Daily Dispatch'!$A:$A,A17,'Daily Dispatch'!F:F),0))</f>
        <v/>
      </c>
      <c r="G17" s="45" t="str">
        <f aca="false">IF(A17="","",IFERROR(SUMIF('Daily Dispatch'!$A:$A,A17,'Daily Dispatch'!G:G),0))</f>
        <v/>
      </c>
      <c r="H17" s="45" t="str">
        <f aca="false">IF(A17="","",IFERROR(SUMIF('Daily Dispatch'!$A:$A,A17,'Daily Dispatch'!H:H),0))</f>
        <v/>
      </c>
      <c r="I17" s="45" t="str">
        <f aca="false">IF(A17="","",IFERROR(SUMIF('Daily Dispatch'!$A:$A,A17,'Daily Dispatch'!I:I),0))</f>
        <v/>
      </c>
      <c r="J17" s="45" t="str">
        <f aca="false">IF(A17="","",IFERROR(SUMIF('Daily Dispatch'!$A:$A,A17,'Daily Dispatch'!J:J),0))</f>
        <v/>
      </c>
      <c r="K17" s="45" t="str">
        <f aca="false">IF(A17="","",IFERROR(SUMIF('Daily Dispatch'!$A:$A,A17,'Daily Dispatch'!K:K),0))</f>
        <v/>
      </c>
      <c r="L17" s="45" t="str">
        <f aca="false">IF(A17="","",IFERROR(SUMIF('Daily Dispatch'!$A:$A,A17,'Daily Dispatch'!L:L),0))</f>
        <v/>
      </c>
      <c r="M17" s="45" t="str">
        <f aca="false">IF(A17="","",IFERROR(SUMIF('Daily Dispatch'!$A:$A,A17,'Daily Dispatch'!M:M),0))</f>
        <v/>
      </c>
      <c r="N17" s="46" t="str">
        <f aca="false">IF(A17="","",SUM(B17:M17))</f>
        <v/>
      </c>
    </row>
    <row r="18" customFormat="false" ht="15.75" hidden="false" customHeight="true" outlineLevel="0" collapsed="false">
      <c r="A18" s="41"/>
      <c r="B18" s="42" t="str">
        <f aca="false">IF(A18="","",IFERROR(SUMIF('Daily Dispatch'!$A:$A,A18,'Daily Dispatch'!B:B),0))</f>
        <v/>
      </c>
      <c r="C18" s="42" t="str">
        <f aca="false">IF(A18="","",IFERROR(SUMIF('Daily Dispatch'!$A:$A,A18,'Daily Dispatch'!C:C),0))</f>
        <v/>
      </c>
      <c r="D18" s="42" t="str">
        <f aca="false">IF(A18="","",IFERROR(SUMIF('Daily Dispatch'!$A:$A,A18,'Daily Dispatch'!D:D),0))</f>
        <v/>
      </c>
      <c r="E18" s="42" t="str">
        <f aca="false">IF(A18="","",IFERROR(SUMIF('Daily Dispatch'!$A:$A,A18,'Daily Dispatch'!E:E),0))</f>
        <v/>
      </c>
      <c r="F18" s="42" t="str">
        <f aca="false">IF(A18="","",IFERROR(SUMIF('Daily Dispatch'!$A:$A,A18,'Daily Dispatch'!F:F),0))</f>
        <v/>
      </c>
      <c r="G18" s="42" t="str">
        <f aca="false">IF(A18="","",IFERROR(SUMIF('Daily Dispatch'!$A:$A,A18,'Daily Dispatch'!G:G),0))</f>
        <v/>
      </c>
      <c r="H18" s="42" t="str">
        <f aca="false">IF(A18="","",IFERROR(SUMIF('Daily Dispatch'!$A:$A,A18,'Daily Dispatch'!H:H),0))</f>
        <v/>
      </c>
      <c r="I18" s="42" t="str">
        <f aca="false">IF(A18="","",IFERROR(SUMIF('Daily Dispatch'!$A:$A,A18,'Daily Dispatch'!I:I),0))</f>
        <v/>
      </c>
      <c r="J18" s="42" t="str">
        <f aca="false">IF(A18="","",IFERROR(SUMIF('Daily Dispatch'!$A:$A,A18,'Daily Dispatch'!J:J),0))</f>
        <v/>
      </c>
      <c r="K18" s="42" t="str">
        <f aca="false">IF(A18="","",IFERROR(SUMIF('Daily Dispatch'!$A:$A,A18,'Daily Dispatch'!K:K),0))</f>
        <v/>
      </c>
      <c r="L18" s="42" t="str">
        <f aca="false">IF(A18="","",IFERROR(SUMIF('Daily Dispatch'!$A:$A,A18,'Daily Dispatch'!L:L),0))</f>
        <v/>
      </c>
      <c r="M18" s="42" t="str">
        <f aca="false">IF(A18="","",IFERROR(SUMIF('Daily Dispatch'!$A:$A,A18,'Daily Dispatch'!M:M),0))</f>
        <v/>
      </c>
      <c r="N18" s="43" t="str">
        <f aca="false">IF(A18="","",SUM(B18:M18))</f>
        <v/>
      </c>
    </row>
    <row r="19" customFormat="false" ht="15.75" hidden="false" customHeight="true" outlineLevel="0" collapsed="false">
      <c r="A19" s="44"/>
      <c r="B19" s="45" t="str">
        <f aca="false">IF(A19="","",IFERROR(SUMIF('Daily Dispatch'!$A:$A,A19,'Daily Dispatch'!B:B),0))</f>
        <v/>
      </c>
      <c r="C19" s="45" t="str">
        <f aca="false">IF(A19="","",IFERROR(SUMIF('Daily Dispatch'!$A:$A,A19,'Daily Dispatch'!C:C),0))</f>
        <v/>
      </c>
      <c r="D19" s="45" t="str">
        <f aca="false">IF(A19="","",IFERROR(SUMIF('Daily Dispatch'!$A:$A,A19,'Daily Dispatch'!D:D),0))</f>
        <v/>
      </c>
      <c r="E19" s="45" t="str">
        <f aca="false">IF(A19="","",IFERROR(SUMIF('Daily Dispatch'!$A:$A,A19,'Daily Dispatch'!E:E),0))</f>
        <v/>
      </c>
      <c r="F19" s="45" t="str">
        <f aca="false">IF(A19="","",IFERROR(SUMIF('Daily Dispatch'!$A:$A,A19,'Daily Dispatch'!F:F),0))</f>
        <v/>
      </c>
      <c r="G19" s="45" t="str">
        <f aca="false">IF(A19="","",IFERROR(SUMIF('Daily Dispatch'!$A:$A,A19,'Daily Dispatch'!G:G),0))</f>
        <v/>
      </c>
      <c r="H19" s="45" t="str">
        <f aca="false">IF(A19="","",IFERROR(SUMIF('Daily Dispatch'!$A:$A,A19,'Daily Dispatch'!H:H),0))</f>
        <v/>
      </c>
      <c r="I19" s="45" t="str">
        <f aca="false">IF(A19="","",IFERROR(SUMIF('Daily Dispatch'!$A:$A,A19,'Daily Dispatch'!I:I),0))</f>
        <v/>
      </c>
      <c r="J19" s="45" t="str">
        <f aca="false">IF(A19="","",IFERROR(SUMIF('Daily Dispatch'!$A:$A,A19,'Daily Dispatch'!J:J),0))</f>
        <v/>
      </c>
      <c r="K19" s="45" t="str">
        <f aca="false">IF(A19="","",IFERROR(SUMIF('Daily Dispatch'!$A:$A,A19,'Daily Dispatch'!K:K),0))</f>
        <v/>
      </c>
      <c r="L19" s="45" t="str">
        <f aca="false">IF(A19="","",IFERROR(SUMIF('Daily Dispatch'!$A:$A,A19,'Daily Dispatch'!L:L),0))</f>
        <v/>
      </c>
      <c r="M19" s="45" t="str">
        <f aca="false">IF(A19="","",IFERROR(SUMIF('Daily Dispatch'!$A:$A,A19,'Daily Dispatch'!M:M),0))</f>
        <v/>
      </c>
      <c r="N19" s="46" t="str">
        <f aca="false">IF(A19="","",SUM(B19:M19))</f>
        <v/>
      </c>
    </row>
    <row r="20" customFormat="false" ht="15.75" hidden="false" customHeight="true" outlineLevel="0" collapsed="false">
      <c r="A20" s="41"/>
      <c r="B20" s="42" t="str">
        <f aca="false">IF(A20="","",IFERROR(SUMIF('Daily Dispatch'!$A:$A,A20,'Daily Dispatch'!B:B),0))</f>
        <v/>
      </c>
      <c r="C20" s="42" t="str">
        <f aca="false">IF(A20="","",IFERROR(SUMIF('Daily Dispatch'!$A:$A,A20,'Daily Dispatch'!C:C),0))</f>
        <v/>
      </c>
      <c r="D20" s="42" t="str">
        <f aca="false">IF(A20="","",IFERROR(SUMIF('Daily Dispatch'!$A:$A,A20,'Daily Dispatch'!D:D),0))</f>
        <v/>
      </c>
      <c r="E20" s="42" t="str">
        <f aca="false">IF(A20="","",IFERROR(SUMIF('Daily Dispatch'!$A:$A,A20,'Daily Dispatch'!E:E),0))</f>
        <v/>
      </c>
      <c r="F20" s="42" t="str">
        <f aca="false">IF(A20="","",IFERROR(SUMIF('Daily Dispatch'!$A:$A,A20,'Daily Dispatch'!F:F),0))</f>
        <v/>
      </c>
      <c r="G20" s="42" t="str">
        <f aca="false">IF(A20="","",IFERROR(SUMIF('Daily Dispatch'!$A:$A,A20,'Daily Dispatch'!G:G),0))</f>
        <v/>
      </c>
      <c r="H20" s="42" t="str">
        <f aca="false">IF(A20="","",IFERROR(SUMIF('Daily Dispatch'!$A:$A,A20,'Daily Dispatch'!H:H),0))</f>
        <v/>
      </c>
      <c r="I20" s="42" t="str">
        <f aca="false">IF(A20="","",IFERROR(SUMIF('Daily Dispatch'!$A:$A,A20,'Daily Dispatch'!I:I),0))</f>
        <v/>
      </c>
      <c r="J20" s="42" t="str">
        <f aca="false">IF(A20="","",IFERROR(SUMIF('Daily Dispatch'!$A:$A,A20,'Daily Dispatch'!J:J),0))</f>
        <v/>
      </c>
      <c r="K20" s="42" t="str">
        <f aca="false">IF(A20="","",IFERROR(SUMIF('Daily Dispatch'!$A:$A,A20,'Daily Dispatch'!K:K),0))</f>
        <v/>
      </c>
      <c r="L20" s="42" t="str">
        <f aca="false">IF(A20="","",IFERROR(SUMIF('Daily Dispatch'!$A:$A,A20,'Daily Dispatch'!L:L),0))</f>
        <v/>
      </c>
      <c r="M20" s="42" t="str">
        <f aca="false">IF(A20="","",IFERROR(SUMIF('Daily Dispatch'!$A:$A,A20,'Daily Dispatch'!M:M),0))</f>
        <v/>
      </c>
      <c r="N20" s="43" t="str">
        <f aca="false">IF(A20="","",SUM(B20:M20))</f>
        <v/>
      </c>
    </row>
    <row r="21" customFormat="false" ht="15.75" hidden="false" customHeight="true" outlineLevel="0" collapsed="false">
      <c r="A21" s="44"/>
      <c r="B21" s="45" t="str">
        <f aca="false">IF(A21="","",IFERROR(SUMIF('Daily Dispatch'!$A:$A,A21,'Daily Dispatch'!B:B),0))</f>
        <v/>
      </c>
      <c r="C21" s="45" t="str">
        <f aca="false">IF(A21="","",IFERROR(SUMIF('Daily Dispatch'!$A:$A,A21,'Daily Dispatch'!C:C),0))</f>
        <v/>
      </c>
      <c r="D21" s="45" t="str">
        <f aca="false">IF(A21="","",IFERROR(SUMIF('Daily Dispatch'!$A:$A,A21,'Daily Dispatch'!D:D),0))</f>
        <v/>
      </c>
      <c r="E21" s="45" t="str">
        <f aca="false">IF(A21="","",IFERROR(SUMIF('Daily Dispatch'!$A:$A,A21,'Daily Dispatch'!E:E),0))</f>
        <v/>
      </c>
      <c r="F21" s="45" t="str">
        <f aca="false">IF(A21="","",IFERROR(SUMIF('Daily Dispatch'!$A:$A,A21,'Daily Dispatch'!F:F),0))</f>
        <v/>
      </c>
      <c r="G21" s="45" t="str">
        <f aca="false">IF(A21="","",IFERROR(SUMIF('Daily Dispatch'!$A:$A,A21,'Daily Dispatch'!G:G),0))</f>
        <v/>
      </c>
      <c r="H21" s="45" t="str">
        <f aca="false">IF(A21="","",IFERROR(SUMIF('Daily Dispatch'!$A:$A,A21,'Daily Dispatch'!H:H),0))</f>
        <v/>
      </c>
      <c r="I21" s="45" t="str">
        <f aca="false">IF(A21="","",IFERROR(SUMIF('Daily Dispatch'!$A:$A,A21,'Daily Dispatch'!I:I),0))</f>
        <v/>
      </c>
      <c r="J21" s="45" t="str">
        <f aca="false">IF(A21="","",IFERROR(SUMIF('Daily Dispatch'!$A:$A,A21,'Daily Dispatch'!J:J),0))</f>
        <v/>
      </c>
      <c r="K21" s="45" t="str">
        <f aca="false">IF(A21="","",IFERROR(SUMIF('Daily Dispatch'!$A:$A,A21,'Daily Dispatch'!K:K),0))</f>
        <v/>
      </c>
      <c r="L21" s="45" t="str">
        <f aca="false">IF(A21="","",IFERROR(SUMIF('Daily Dispatch'!$A:$A,A21,'Daily Dispatch'!L:L),0))</f>
        <v/>
      </c>
      <c r="M21" s="45" t="str">
        <f aca="false">IF(A21="","",IFERROR(SUMIF('Daily Dispatch'!$A:$A,A21,'Daily Dispatch'!M:M),0))</f>
        <v/>
      </c>
      <c r="N21" s="46" t="str">
        <f aca="false">IF(A21="","",SUM(B21:M21))</f>
        <v/>
      </c>
    </row>
    <row r="22" customFormat="false" ht="15.75" hidden="false" customHeight="true" outlineLevel="0" collapsed="false">
      <c r="A22" s="41"/>
      <c r="B22" s="42" t="str">
        <f aca="false">IF(A22="","",IFERROR(SUMIF('Daily Dispatch'!$A:$A,A22,'Daily Dispatch'!B:B),0))</f>
        <v/>
      </c>
      <c r="C22" s="42" t="str">
        <f aca="false">IF(A22="","",IFERROR(SUMIF('Daily Dispatch'!$A:$A,A22,'Daily Dispatch'!C:C),0))</f>
        <v/>
      </c>
      <c r="D22" s="42" t="str">
        <f aca="false">IF(A22="","",IFERROR(SUMIF('Daily Dispatch'!$A:$A,A22,'Daily Dispatch'!D:D),0))</f>
        <v/>
      </c>
      <c r="E22" s="42" t="str">
        <f aca="false">IF(A22="","",IFERROR(SUMIF('Daily Dispatch'!$A:$A,A22,'Daily Dispatch'!E:E),0))</f>
        <v/>
      </c>
      <c r="F22" s="42" t="str">
        <f aca="false">IF(A22="","",IFERROR(SUMIF('Daily Dispatch'!$A:$A,A22,'Daily Dispatch'!F:F),0))</f>
        <v/>
      </c>
      <c r="G22" s="42" t="str">
        <f aca="false">IF(A22="","",IFERROR(SUMIF('Daily Dispatch'!$A:$A,A22,'Daily Dispatch'!G:G),0))</f>
        <v/>
      </c>
      <c r="H22" s="42" t="str">
        <f aca="false">IF(A22="","",IFERROR(SUMIF('Daily Dispatch'!$A:$A,A22,'Daily Dispatch'!H:H),0))</f>
        <v/>
      </c>
      <c r="I22" s="42" t="str">
        <f aca="false">IF(A22="","",IFERROR(SUMIF('Daily Dispatch'!$A:$A,A22,'Daily Dispatch'!I:I),0))</f>
        <v/>
      </c>
      <c r="J22" s="42" t="str">
        <f aca="false">IF(A22="","",IFERROR(SUMIF('Daily Dispatch'!$A:$A,A22,'Daily Dispatch'!J:J),0))</f>
        <v/>
      </c>
      <c r="K22" s="42" t="str">
        <f aca="false">IF(A22="","",IFERROR(SUMIF('Daily Dispatch'!$A:$A,A22,'Daily Dispatch'!K:K),0))</f>
        <v/>
      </c>
      <c r="L22" s="42" t="str">
        <f aca="false">IF(A22="","",IFERROR(SUMIF('Daily Dispatch'!$A:$A,A22,'Daily Dispatch'!L:L),0))</f>
        <v/>
      </c>
      <c r="M22" s="42" t="str">
        <f aca="false">IF(A22="","",IFERROR(SUMIF('Daily Dispatch'!$A:$A,A22,'Daily Dispatch'!M:M),0))</f>
        <v/>
      </c>
      <c r="N22" s="43" t="str">
        <f aca="false">IF(A22="","",SUM(B22:M22))</f>
        <v/>
      </c>
    </row>
    <row r="23" customFormat="false" ht="15.75" hidden="false" customHeight="true" outlineLevel="0" collapsed="false">
      <c r="A23" s="44"/>
      <c r="B23" s="45" t="str">
        <f aca="false">IF(A23="","",IFERROR(SUMIF('Daily Dispatch'!$A:$A,A23,'Daily Dispatch'!B:B),0))</f>
        <v/>
      </c>
      <c r="C23" s="45" t="str">
        <f aca="false">IF(A23="","",IFERROR(SUMIF('Daily Dispatch'!$A:$A,A23,'Daily Dispatch'!C:C),0))</f>
        <v/>
      </c>
      <c r="D23" s="45" t="str">
        <f aca="false">IF(A23="","",IFERROR(SUMIF('Daily Dispatch'!$A:$A,A23,'Daily Dispatch'!D:D),0))</f>
        <v/>
      </c>
      <c r="E23" s="45" t="str">
        <f aca="false">IF(A23="","",IFERROR(SUMIF('Daily Dispatch'!$A:$A,A23,'Daily Dispatch'!E:E),0))</f>
        <v/>
      </c>
      <c r="F23" s="45" t="str">
        <f aca="false">IF(A23="","",IFERROR(SUMIF('Daily Dispatch'!$A:$A,A23,'Daily Dispatch'!F:F),0))</f>
        <v/>
      </c>
      <c r="G23" s="45" t="str">
        <f aca="false">IF(A23="","",IFERROR(SUMIF('Daily Dispatch'!$A:$A,A23,'Daily Dispatch'!G:G),0))</f>
        <v/>
      </c>
      <c r="H23" s="45" t="str">
        <f aca="false">IF(A23="","",IFERROR(SUMIF('Daily Dispatch'!$A:$A,A23,'Daily Dispatch'!H:H),0))</f>
        <v/>
      </c>
      <c r="I23" s="45" t="str">
        <f aca="false">IF(A23="","",IFERROR(SUMIF('Daily Dispatch'!$A:$A,A23,'Daily Dispatch'!I:I),0))</f>
        <v/>
      </c>
      <c r="J23" s="45" t="str">
        <f aca="false">IF(A23="","",IFERROR(SUMIF('Daily Dispatch'!$A:$A,A23,'Daily Dispatch'!J:J),0))</f>
        <v/>
      </c>
      <c r="K23" s="45" t="str">
        <f aca="false">IF(A23="","",IFERROR(SUMIF('Daily Dispatch'!$A:$A,A23,'Daily Dispatch'!K:K),0))</f>
        <v/>
      </c>
      <c r="L23" s="45" t="str">
        <f aca="false">IF(A23="","",IFERROR(SUMIF('Daily Dispatch'!$A:$A,A23,'Daily Dispatch'!L:L),0))</f>
        <v/>
      </c>
      <c r="M23" s="45" t="str">
        <f aca="false">IF(A23="","",IFERROR(SUMIF('Daily Dispatch'!$A:$A,A23,'Daily Dispatch'!M:M),0))</f>
        <v/>
      </c>
      <c r="N23" s="46" t="str">
        <f aca="false">IF(A23="","",SUM(B23:M23))</f>
        <v/>
      </c>
    </row>
    <row r="24" customFormat="false" ht="15.75" hidden="false" customHeight="true" outlineLevel="0" collapsed="false">
      <c r="A24" s="41"/>
      <c r="B24" s="42" t="str">
        <f aca="false">IF(A24="","",IFERROR(SUMIF('Daily Dispatch'!$A:$A,A24,'Daily Dispatch'!B:B),0))</f>
        <v/>
      </c>
      <c r="C24" s="42" t="str">
        <f aca="false">IF(A24="","",IFERROR(SUMIF('Daily Dispatch'!$A:$A,A24,'Daily Dispatch'!C:C),0))</f>
        <v/>
      </c>
      <c r="D24" s="42" t="str">
        <f aca="false">IF(A24="","",IFERROR(SUMIF('Daily Dispatch'!$A:$A,A24,'Daily Dispatch'!D:D),0))</f>
        <v/>
      </c>
      <c r="E24" s="42" t="str">
        <f aca="false">IF(A24="","",IFERROR(SUMIF('Daily Dispatch'!$A:$A,A24,'Daily Dispatch'!E:E),0))</f>
        <v/>
      </c>
      <c r="F24" s="42" t="str">
        <f aca="false">IF(A24="","",IFERROR(SUMIF('Daily Dispatch'!$A:$A,A24,'Daily Dispatch'!F:F),0))</f>
        <v/>
      </c>
      <c r="G24" s="42" t="str">
        <f aca="false">IF(A24="","",IFERROR(SUMIF('Daily Dispatch'!$A:$A,A24,'Daily Dispatch'!G:G),0))</f>
        <v/>
      </c>
      <c r="H24" s="42" t="str">
        <f aca="false">IF(A24="","",IFERROR(SUMIF('Daily Dispatch'!$A:$A,A24,'Daily Dispatch'!H:H),0))</f>
        <v/>
      </c>
      <c r="I24" s="42" t="str">
        <f aca="false">IF(A24="","",IFERROR(SUMIF('Daily Dispatch'!$A:$A,A24,'Daily Dispatch'!I:I),0))</f>
        <v/>
      </c>
      <c r="J24" s="42" t="str">
        <f aca="false">IF(A24="","",IFERROR(SUMIF('Daily Dispatch'!$A:$A,A24,'Daily Dispatch'!J:J),0))</f>
        <v/>
      </c>
      <c r="K24" s="42" t="str">
        <f aca="false">IF(A24="","",IFERROR(SUMIF('Daily Dispatch'!$A:$A,A24,'Daily Dispatch'!K:K),0))</f>
        <v/>
      </c>
      <c r="L24" s="42" t="str">
        <f aca="false">IF(A24="","",IFERROR(SUMIF('Daily Dispatch'!$A:$A,A24,'Daily Dispatch'!L:L),0))</f>
        <v/>
      </c>
      <c r="M24" s="42" t="str">
        <f aca="false">IF(A24="","",IFERROR(SUMIF('Daily Dispatch'!$A:$A,A24,'Daily Dispatch'!M:M),0))</f>
        <v/>
      </c>
      <c r="N24" s="43" t="str">
        <f aca="false">IF(A24="","",SUM(B24:M24))</f>
        <v/>
      </c>
    </row>
    <row r="25" customFormat="false" ht="15.75" hidden="false" customHeight="true" outlineLevel="0" collapsed="false">
      <c r="A25" s="44"/>
      <c r="B25" s="45" t="str">
        <f aca="false">IF(A25="","",IFERROR(SUMIF('Daily Dispatch'!$A:$A,A25,'Daily Dispatch'!B:B),0))</f>
        <v/>
      </c>
      <c r="C25" s="45" t="str">
        <f aca="false">IF(A25="","",IFERROR(SUMIF('Daily Dispatch'!$A:$A,A25,'Daily Dispatch'!C:C),0))</f>
        <v/>
      </c>
      <c r="D25" s="45" t="str">
        <f aca="false">IF(A25="","",IFERROR(SUMIF('Daily Dispatch'!$A:$A,A25,'Daily Dispatch'!D:D),0))</f>
        <v/>
      </c>
      <c r="E25" s="45" t="str">
        <f aca="false">IF(A25="","",IFERROR(SUMIF('Daily Dispatch'!$A:$A,A25,'Daily Dispatch'!E:E),0))</f>
        <v/>
      </c>
      <c r="F25" s="45" t="str">
        <f aca="false">IF(A25="","",IFERROR(SUMIF('Daily Dispatch'!$A:$A,A25,'Daily Dispatch'!F:F),0))</f>
        <v/>
      </c>
      <c r="G25" s="45" t="str">
        <f aca="false">IF(A25="","",IFERROR(SUMIF('Daily Dispatch'!$A:$A,A25,'Daily Dispatch'!G:G),0))</f>
        <v/>
      </c>
      <c r="H25" s="45" t="str">
        <f aca="false">IF(A25="","",IFERROR(SUMIF('Daily Dispatch'!$A:$A,A25,'Daily Dispatch'!H:H),0))</f>
        <v/>
      </c>
      <c r="I25" s="45" t="str">
        <f aca="false">IF(A25="","",IFERROR(SUMIF('Daily Dispatch'!$A:$A,A25,'Daily Dispatch'!I:I),0))</f>
        <v/>
      </c>
      <c r="J25" s="45" t="str">
        <f aca="false">IF(A25="","",IFERROR(SUMIF('Daily Dispatch'!$A:$A,A25,'Daily Dispatch'!J:J),0))</f>
        <v/>
      </c>
      <c r="K25" s="45" t="str">
        <f aca="false">IF(A25="","",IFERROR(SUMIF('Daily Dispatch'!$A:$A,A25,'Daily Dispatch'!K:K),0))</f>
        <v/>
      </c>
      <c r="L25" s="45" t="str">
        <f aca="false">IF(A25="","",IFERROR(SUMIF('Daily Dispatch'!$A:$A,A25,'Daily Dispatch'!L:L),0))</f>
        <v/>
      </c>
      <c r="M25" s="45" t="str">
        <f aca="false">IF(A25="","",IFERROR(SUMIF('Daily Dispatch'!$A:$A,A25,'Daily Dispatch'!M:M),0))</f>
        <v/>
      </c>
      <c r="N25" s="46" t="str">
        <f aca="false">IF(A25="","",SUM(B25:M25))</f>
        <v/>
      </c>
    </row>
    <row r="26" customFormat="false" ht="15.75" hidden="false" customHeight="true" outlineLevel="0" collapsed="false">
      <c r="A26" s="41"/>
      <c r="B26" s="42" t="str">
        <f aca="false">IF(A26="","",IFERROR(SUMIF('Daily Dispatch'!$A:$A,A26,'Daily Dispatch'!B:B),0))</f>
        <v/>
      </c>
      <c r="C26" s="42" t="str">
        <f aca="false">IF(A26="","",IFERROR(SUMIF('Daily Dispatch'!$A:$A,A26,'Daily Dispatch'!C:C),0))</f>
        <v/>
      </c>
      <c r="D26" s="42" t="str">
        <f aca="false">IF(A26="","",IFERROR(SUMIF('Daily Dispatch'!$A:$A,A26,'Daily Dispatch'!D:D),0))</f>
        <v/>
      </c>
      <c r="E26" s="42" t="str">
        <f aca="false">IF(A26="","",IFERROR(SUMIF('Daily Dispatch'!$A:$A,A26,'Daily Dispatch'!E:E),0))</f>
        <v/>
      </c>
      <c r="F26" s="42" t="str">
        <f aca="false">IF(A26="","",IFERROR(SUMIF('Daily Dispatch'!$A:$A,A26,'Daily Dispatch'!F:F),0))</f>
        <v/>
      </c>
      <c r="G26" s="42" t="str">
        <f aca="false">IF(A26="","",IFERROR(SUMIF('Daily Dispatch'!$A:$A,A26,'Daily Dispatch'!G:G),0))</f>
        <v/>
      </c>
      <c r="H26" s="42" t="str">
        <f aca="false">IF(A26="","",IFERROR(SUMIF('Daily Dispatch'!$A:$A,A26,'Daily Dispatch'!H:H),0))</f>
        <v/>
      </c>
      <c r="I26" s="42" t="str">
        <f aca="false">IF(A26="","",IFERROR(SUMIF('Daily Dispatch'!$A:$A,A26,'Daily Dispatch'!I:I),0))</f>
        <v/>
      </c>
      <c r="J26" s="42" t="str">
        <f aca="false">IF(A26="","",IFERROR(SUMIF('Daily Dispatch'!$A:$A,A26,'Daily Dispatch'!J:J),0))</f>
        <v/>
      </c>
      <c r="K26" s="42" t="str">
        <f aca="false">IF(A26="","",IFERROR(SUMIF('Daily Dispatch'!$A:$A,A26,'Daily Dispatch'!K:K),0))</f>
        <v/>
      </c>
      <c r="L26" s="42" t="str">
        <f aca="false">IF(A26="","",IFERROR(SUMIF('Daily Dispatch'!$A:$A,A26,'Daily Dispatch'!L:L),0))</f>
        <v/>
      </c>
      <c r="M26" s="42" t="str">
        <f aca="false">IF(A26="","",IFERROR(SUMIF('Daily Dispatch'!$A:$A,A26,'Daily Dispatch'!M:M),0))</f>
        <v/>
      </c>
      <c r="N26" s="43" t="str">
        <f aca="false">IF(A26="","",SUM(B26:M26))</f>
        <v/>
      </c>
    </row>
    <row r="27" customFormat="false" ht="15.75" hidden="false" customHeight="true" outlineLevel="0" collapsed="false">
      <c r="A27" s="44"/>
      <c r="B27" s="45" t="str">
        <f aca="false">IF(A27="","",IFERROR(SUMIF('Daily Dispatch'!$A:$A,A27,'Daily Dispatch'!B:B),0))</f>
        <v/>
      </c>
      <c r="C27" s="45" t="str">
        <f aca="false">IF(A27="","",IFERROR(SUMIF('Daily Dispatch'!$A:$A,A27,'Daily Dispatch'!C:C),0))</f>
        <v/>
      </c>
      <c r="D27" s="45" t="str">
        <f aca="false">IF(A27="","",IFERROR(SUMIF('Daily Dispatch'!$A:$A,A27,'Daily Dispatch'!D:D),0))</f>
        <v/>
      </c>
      <c r="E27" s="45" t="str">
        <f aca="false">IF(A27="","",IFERROR(SUMIF('Daily Dispatch'!$A:$A,A27,'Daily Dispatch'!E:E),0))</f>
        <v/>
      </c>
      <c r="F27" s="45" t="str">
        <f aca="false">IF(A27="","",IFERROR(SUMIF('Daily Dispatch'!$A:$A,A27,'Daily Dispatch'!F:F),0))</f>
        <v/>
      </c>
      <c r="G27" s="45" t="str">
        <f aca="false">IF(A27="","",IFERROR(SUMIF('Daily Dispatch'!$A:$A,A27,'Daily Dispatch'!G:G),0))</f>
        <v/>
      </c>
      <c r="H27" s="45" t="str">
        <f aca="false">IF(A27="","",IFERROR(SUMIF('Daily Dispatch'!$A:$A,A27,'Daily Dispatch'!H:H),0))</f>
        <v/>
      </c>
      <c r="I27" s="45" t="str">
        <f aca="false">IF(A27="","",IFERROR(SUMIF('Daily Dispatch'!$A:$A,A27,'Daily Dispatch'!I:I),0))</f>
        <v/>
      </c>
      <c r="J27" s="45" t="str">
        <f aca="false">IF(A27="","",IFERROR(SUMIF('Daily Dispatch'!$A:$A,A27,'Daily Dispatch'!J:J),0))</f>
        <v/>
      </c>
      <c r="K27" s="45" t="str">
        <f aca="false">IF(A27="","",IFERROR(SUMIF('Daily Dispatch'!$A:$A,A27,'Daily Dispatch'!K:K),0))</f>
        <v/>
      </c>
      <c r="L27" s="45" t="str">
        <f aca="false">IF(A27="","",IFERROR(SUMIF('Daily Dispatch'!$A:$A,A27,'Daily Dispatch'!L:L),0))</f>
        <v/>
      </c>
      <c r="M27" s="45" t="str">
        <f aca="false">IF(A27="","",IFERROR(SUMIF('Daily Dispatch'!$A:$A,A27,'Daily Dispatch'!M:M),0))</f>
        <v/>
      </c>
      <c r="N27" s="46" t="str">
        <f aca="false">IF(A27="","",SUM(B27:M27))</f>
        <v/>
      </c>
    </row>
    <row r="28" customFormat="false" ht="15.75" hidden="false" customHeight="true" outlineLevel="0" collapsed="false">
      <c r="A28" s="41"/>
      <c r="B28" s="42" t="str">
        <f aca="false">IF(A28="","",IFERROR(SUMIF('Daily Dispatch'!$A:$A,A28,'Daily Dispatch'!B:B),0))</f>
        <v/>
      </c>
      <c r="C28" s="42" t="str">
        <f aca="false">IF(A28="","",IFERROR(SUMIF('Daily Dispatch'!$A:$A,A28,'Daily Dispatch'!C:C),0))</f>
        <v/>
      </c>
      <c r="D28" s="42" t="str">
        <f aca="false">IF(A28="","",IFERROR(SUMIF('Daily Dispatch'!$A:$A,A28,'Daily Dispatch'!D:D),0))</f>
        <v/>
      </c>
      <c r="E28" s="42" t="str">
        <f aca="false">IF(A28="","",IFERROR(SUMIF('Daily Dispatch'!$A:$A,A28,'Daily Dispatch'!E:E),0))</f>
        <v/>
      </c>
      <c r="F28" s="42" t="str">
        <f aca="false">IF(A28="","",IFERROR(SUMIF('Daily Dispatch'!$A:$A,A28,'Daily Dispatch'!F:F),0))</f>
        <v/>
      </c>
      <c r="G28" s="42" t="str">
        <f aca="false">IF(A28="","",IFERROR(SUMIF('Daily Dispatch'!$A:$A,A28,'Daily Dispatch'!G:G),0))</f>
        <v/>
      </c>
      <c r="H28" s="42" t="str">
        <f aca="false">IF(A28="","",IFERROR(SUMIF('Daily Dispatch'!$A:$A,A28,'Daily Dispatch'!H:H),0))</f>
        <v/>
      </c>
      <c r="I28" s="42" t="str">
        <f aca="false">IF(A28="","",IFERROR(SUMIF('Daily Dispatch'!$A:$A,A28,'Daily Dispatch'!I:I),0))</f>
        <v/>
      </c>
      <c r="J28" s="42" t="str">
        <f aca="false">IF(A28="","",IFERROR(SUMIF('Daily Dispatch'!$A:$A,A28,'Daily Dispatch'!J:J),0))</f>
        <v/>
      </c>
      <c r="K28" s="42" t="str">
        <f aca="false">IF(A28="","",IFERROR(SUMIF('Daily Dispatch'!$A:$A,A28,'Daily Dispatch'!K:K),0))</f>
        <v/>
      </c>
      <c r="L28" s="42" t="str">
        <f aca="false">IF(A28="","",IFERROR(SUMIF('Daily Dispatch'!$A:$A,A28,'Daily Dispatch'!L:L),0))</f>
        <v/>
      </c>
      <c r="M28" s="42" t="str">
        <f aca="false">IF(A28="","",IFERROR(SUMIF('Daily Dispatch'!$A:$A,A28,'Daily Dispatch'!M:M),0))</f>
        <v/>
      </c>
      <c r="N28" s="43" t="str">
        <f aca="false">IF(A28="","",SUM(B28:M28))</f>
        <v/>
      </c>
    </row>
    <row r="29" customFormat="false" ht="15.75" hidden="false" customHeight="true" outlineLevel="0" collapsed="false">
      <c r="A29" s="44"/>
      <c r="B29" s="45" t="str">
        <f aca="false">IF(A29="","",IFERROR(SUMIF('Daily Dispatch'!$A:$A,A29,'Daily Dispatch'!B:B),0))</f>
        <v/>
      </c>
      <c r="C29" s="45" t="str">
        <f aca="false">IF(A29="","",IFERROR(SUMIF('Daily Dispatch'!$A:$A,A29,'Daily Dispatch'!C:C),0))</f>
        <v/>
      </c>
      <c r="D29" s="45" t="str">
        <f aca="false">IF(A29="","",IFERROR(SUMIF('Daily Dispatch'!$A:$A,A29,'Daily Dispatch'!D:D),0))</f>
        <v/>
      </c>
      <c r="E29" s="45" t="str">
        <f aca="false">IF(A29="","",IFERROR(SUMIF('Daily Dispatch'!$A:$A,A29,'Daily Dispatch'!E:E),0))</f>
        <v/>
      </c>
      <c r="F29" s="45" t="str">
        <f aca="false">IF(A29="","",IFERROR(SUMIF('Daily Dispatch'!$A:$A,A29,'Daily Dispatch'!F:F),0))</f>
        <v/>
      </c>
      <c r="G29" s="45" t="str">
        <f aca="false">IF(A29="","",IFERROR(SUMIF('Daily Dispatch'!$A:$A,A29,'Daily Dispatch'!G:G),0))</f>
        <v/>
      </c>
      <c r="H29" s="45" t="str">
        <f aca="false">IF(A29="","",IFERROR(SUMIF('Daily Dispatch'!$A:$A,A29,'Daily Dispatch'!H:H),0))</f>
        <v/>
      </c>
      <c r="I29" s="45" t="str">
        <f aca="false">IF(A29="","",IFERROR(SUMIF('Daily Dispatch'!$A:$A,A29,'Daily Dispatch'!I:I),0))</f>
        <v/>
      </c>
      <c r="J29" s="45" t="str">
        <f aca="false">IF(A29="","",IFERROR(SUMIF('Daily Dispatch'!$A:$A,A29,'Daily Dispatch'!J:J),0))</f>
        <v/>
      </c>
      <c r="K29" s="45" t="str">
        <f aca="false">IF(A29="","",IFERROR(SUMIF('Daily Dispatch'!$A:$A,A29,'Daily Dispatch'!K:K),0))</f>
        <v/>
      </c>
      <c r="L29" s="45" t="str">
        <f aca="false">IF(A29="","",IFERROR(SUMIF('Daily Dispatch'!$A:$A,A29,'Daily Dispatch'!L:L),0))</f>
        <v/>
      </c>
      <c r="M29" s="45" t="str">
        <f aca="false">IF(A29="","",IFERROR(SUMIF('Daily Dispatch'!$A:$A,A29,'Daily Dispatch'!M:M),0))</f>
        <v/>
      </c>
      <c r="N29" s="46" t="str">
        <f aca="false">IF(A29="","",SUM(B29:M29))</f>
        <v/>
      </c>
    </row>
    <row r="30" customFormat="false" ht="15.75" hidden="false" customHeight="true" outlineLevel="0" collapsed="false">
      <c r="A30" s="41"/>
      <c r="B30" s="42" t="str">
        <f aca="false">IF(A30="","",IFERROR(SUMIF('Daily Dispatch'!$A:$A,A30,'Daily Dispatch'!B:B),0))</f>
        <v/>
      </c>
      <c r="C30" s="42" t="str">
        <f aca="false">IF(A30="","",IFERROR(SUMIF('Daily Dispatch'!$A:$A,A30,'Daily Dispatch'!C:C),0))</f>
        <v/>
      </c>
      <c r="D30" s="42" t="str">
        <f aca="false">IF(A30="","",IFERROR(SUMIF('Daily Dispatch'!$A:$A,A30,'Daily Dispatch'!D:D),0))</f>
        <v/>
      </c>
      <c r="E30" s="42" t="str">
        <f aca="false">IF(A30="","",IFERROR(SUMIF('Daily Dispatch'!$A:$A,A30,'Daily Dispatch'!E:E),0))</f>
        <v/>
      </c>
      <c r="F30" s="42" t="str">
        <f aca="false">IF(A30="","",IFERROR(SUMIF('Daily Dispatch'!$A:$A,A30,'Daily Dispatch'!F:F),0))</f>
        <v/>
      </c>
      <c r="G30" s="42" t="str">
        <f aca="false">IF(A30="","",IFERROR(SUMIF('Daily Dispatch'!$A:$A,A30,'Daily Dispatch'!G:G),0))</f>
        <v/>
      </c>
      <c r="H30" s="42" t="str">
        <f aca="false">IF(A30="","",IFERROR(SUMIF('Daily Dispatch'!$A:$A,A30,'Daily Dispatch'!H:H),0))</f>
        <v/>
      </c>
      <c r="I30" s="42" t="str">
        <f aca="false">IF(A30="","",IFERROR(SUMIF('Daily Dispatch'!$A:$A,A30,'Daily Dispatch'!I:I),0))</f>
        <v/>
      </c>
      <c r="J30" s="42" t="str">
        <f aca="false">IF(A30="","",IFERROR(SUMIF('Daily Dispatch'!$A:$A,A30,'Daily Dispatch'!J:J),0))</f>
        <v/>
      </c>
      <c r="K30" s="42" t="str">
        <f aca="false">IF(A30="","",IFERROR(SUMIF('Daily Dispatch'!$A:$A,A30,'Daily Dispatch'!K:K),0))</f>
        <v/>
      </c>
      <c r="L30" s="42" t="str">
        <f aca="false">IF(A30="","",IFERROR(SUMIF('Daily Dispatch'!$A:$A,A30,'Daily Dispatch'!L:L),0))</f>
        <v/>
      </c>
      <c r="M30" s="42" t="str">
        <f aca="false">IF(A30="","",IFERROR(SUMIF('Daily Dispatch'!$A:$A,A30,'Daily Dispatch'!M:M),0))</f>
        <v/>
      </c>
      <c r="N30" s="43" t="str">
        <f aca="false">IF(A30="","",SUM(B30:M30))</f>
        <v/>
      </c>
    </row>
    <row r="31" customFormat="false" ht="15.75" hidden="false" customHeight="true" outlineLevel="0" collapsed="false">
      <c r="A31" s="44"/>
      <c r="B31" s="45" t="str">
        <f aca="false">IF(A31="","",IFERROR(SUMIF('Daily Dispatch'!$A:$A,A31,'Daily Dispatch'!B:B),0))</f>
        <v/>
      </c>
      <c r="C31" s="45" t="str">
        <f aca="false">IF(A31="","",IFERROR(SUMIF('Daily Dispatch'!$A:$A,A31,'Daily Dispatch'!C:C),0))</f>
        <v/>
      </c>
      <c r="D31" s="45" t="str">
        <f aca="false">IF(A31="","",IFERROR(SUMIF('Daily Dispatch'!$A:$A,A31,'Daily Dispatch'!D:D),0))</f>
        <v/>
      </c>
      <c r="E31" s="45" t="str">
        <f aca="false">IF(A31="","",IFERROR(SUMIF('Daily Dispatch'!$A:$A,A31,'Daily Dispatch'!E:E),0))</f>
        <v/>
      </c>
      <c r="F31" s="45" t="str">
        <f aca="false">IF(A31="","",IFERROR(SUMIF('Daily Dispatch'!$A:$A,A31,'Daily Dispatch'!F:F),0))</f>
        <v/>
      </c>
      <c r="G31" s="45" t="str">
        <f aca="false">IF(A31="","",IFERROR(SUMIF('Daily Dispatch'!$A:$A,A31,'Daily Dispatch'!G:G),0))</f>
        <v/>
      </c>
      <c r="H31" s="45" t="str">
        <f aca="false">IF(A31="","",IFERROR(SUMIF('Daily Dispatch'!$A:$A,A31,'Daily Dispatch'!H:H),0))</f>
        <v/>
      </c>
      <c r="I31" s="45" t="str">
        <f aca="false">IF(A31="","",IFERROR(SUMIF('Daily Dispatch'!$A:$A,A31,'Daily Dispatch'!I:I),0))</f>
        <v/>
      </c>
      <c r="J31" s="45" t="str">
        <f aca="false">IF(A31="","",IFERROR(SUMIF('Daily Dispatch'!$A:$A,A31,'Daily Dispatch'!J:J),0))</f>
        <v/>
      </c>
      <c r="K31" s="45" t="str">
        <f aca="false">IF(A31="","",IFERROR(SUMIF('Daily Dispatch'!$A:$A,A31,'Daily Dispatch'!K:K),0))</f>
        <v/>
      </c>
      <c r="L31" s="45" t="str">
        <f aca="false">IF(A31="","",IFERROR(SUMIF('Daily Dispatch'!$A:$A,A31,'Daily Dispatch'!L:L),0))</f>
        <v/>
      </c>
      <c r="M31" s="45" t="str">
        <f aca="false">IF(A31="","",IFERROR(SUMIF('Daily Dispatch'!$A:$A,A31,'Daily Dispatch'!M:M),0))</f>
        <v/>
      </c>
      <c r="N31" s="46" t="str">
        <f aca="false">IF(A31="","",SUM(B31:M31))</f>
        <v/>
      </c>
    </row>
    <row r="32" customFormat="false" ht="15.75" hidden="false" customHeight="true" outlineLevel="0" collapsed="false">
      <c r="A32" s="41"/>
      <c r="B32" s="42" t="str">
        <f aca="false">IF(A32="","",IFERROR(SUMIF('Daily Dispatch'!$A:$A,A32,'Daily Dispatch'!B:B),0))</f>
        <v/>
      </c>
      <c r="C32" s="42" t="str">
        <f aca="false">IF(A32="","",IFERROR(SUMIF('Daily Dispatch'!$A:$A,A32,'Daily Dispatch'!C:C),0))</f>
        <v/>
      </c>
      <c r="D32" s="42" t="str">
        <f aca="false">IF(A32="","",IFERROR(SUMIF('Daily Dispatch'!$A:$A,A32,'Daily Dispatch'!D:D),0))</f>
        <v/>
      </c>
      <c r="E32" s="42" t="str">
        <f aca="false">IF(A32="","",IFERROR(SUMIF('Daily Dispatch'!$A:$A,A32,'Daily Dispatch'!E:E),0))</f>
        <v/>
      </c>
      <c r="F32" s="42" t="str">
        <f aca="false">IF(A32="","",IFERROR(SUMIF('Daily Dispatch'!$A:$A,A32,'Daily Dispatch'!F:F),0))</f>
        <v/>
      </c>
      <c r="G32" s="42" t="str">
        <f aca="false">IF(A32="","",IFERROR(SUMIF('Daily Dispatch'!$A:$A,A32,'Daily Dispatch'!G:G),0))</f>
        <v/>
      </c>
      <c r="H32" s="42" t="str">
        <f aca="false">IF(A32="","",IFERROR(SUMIF('Daily Dispatch'!$A:$A,A32,'Daily Dispatch'!H:H),0))</f>
        <v/>
      </c>
      <c r="I32" s="42" t="str">
        <f aca="false">IF(A32="","",IFERROR(SUMIF('Daily Dispatch'!$A:$A,A32,'Daily Dispatch'!I:I),0))</f>
        <v/>
      </c>
      <c r="J32" s="42" t="str">
        <f aca="false">IF(A32="","",IFERROR(SUMIF('Daily Dispatch'!$A:$A,A32,'Daily Dispatch'!J:J),0))</f>
        <v/>
      </c>
      <c r="K32" s="42" t="str">
        <f aca="false">IF(A32="","",IFERROR(SUMIF('Daily Dispatch'!$A:$A,A32,'Daily Dispatch'!K:K),0))</f>
        <v/>
      </c>
      <c r="L32" s="42" t="str">
        <f aca="false">IF(A32="","",IFERROR(SUMIF('Daily Dispatch'!$A:$A,A32,'Daily Dispatch'!L:L),0))</f>
        <v/>
      </c>
      <c r="M32" s="42" t="str">
        <f aca="false">IF(A32="","",IFERROR(SUMIF('Daily Dispatch'!$A:$A,A32,'Daily Dispatch'!M:M),0))</f>
        <v/>
      </c>
      <c r="N32" s="43" t="str">
        <f aca="false">IF(A32="","",SUM(B32:M32))</f>
        <v/>
      </c>
    </row>
    <row r="33" customFormat="false" ht="15.75" hidden="false" customHeight="true" outlineLevel="0" collapsed="false">
      <c r="A33" s="44"/>
      <c r="B33" s="45" t="str">
        <f aca="false">IF(A33="","",IFERROR(SUMIF('Daily Dispatch'!$A:$A,A33,'Daily Dispatch'!B:B),0))</f>
        <v/>
      </c>
      <c r="C33" s="45" t="str">
        <f aca="false">IF(A33="","",IFERROR(SUMIF('Daily Dispatch'!$A:$A,A33,'Daily Dispatch'!C:C),0))</f>
        <v/>
      </c>
      <c r="D33" s="45" t="str">
        <f aca="false">IF(A33="","",IFERROR(SUMIF('Daily Dispatch'!$A:$A,A33,'Daily Dispatch'!D:D),0))</f>
        <v/>
      </c>
      <c r="E33" s="45" t="str">
        <f aca="false">IF(A33="","",IFERROR(SUMIF('Daily Dispatch'!$A:$A,A33,'Daily Dispatch'!E:E),0))</f>
        <v/>
      </c>
      <c r="F33" s="45" t="str">
        <f aca="false">IF(A33="","",IFERROR(SUMIF('Daily Dispatch'!$A:$A,A33,'Daily Dispatch'!F:F),0))</f>
        <v/>
      </c>
      <c r="G33" s="45" t="str">
        <f aca="false">IF(A33="","",IFERROR(SUMIF('Daily Dispatch'!$A:$A,A33,'Daily Dispatch'!G:G),0))</f>
        <v/>
      </c>
      <c r="H33" s="45" t="str">
        <f aca="false">IF(A33="","",IFERROR(SUMIF('Daily Dispatch'!$A:$A,A33,'Daily Dispatch'!H:H),0))</f>
        <v/>
      </c>
      <c r="I33" s="45" t="str">
        <f aca="false">IF(A33="","",IFERROR(SUMIF('Daily Dispatch'!$A:$A,A33,'Daily Dispatch'!I:I),0))</f>
        <v/>
      </c>
      <c r="J33" s="45" t="str">
        <f aca="false">IF(A33="","",IFERROR(SUMIF('Daily Dispatch'!$A:$A,A33,'Daily Dispatch'!J:J),0))</f>
        <v/>
      </c>
      <c r="K33" s="45" t="str">
        <f aca="false">IF(A33="","",IFERROR(SUMIF('Daily Dispatch'!$A:$A,A33,'Daily Dispatch'!K:K),0))</f>
        <v/>
      </c>
      <c r="L33" s="45" t="str">
        <f aca="false">IF(A33="","",IFERROR(SUMIF('Daily Dispatch'!$A:$A,A33,'Daily Dispatch'!L:L),0))</f>
        <v/>
      </c>
      <c r="M33" s="45" t="str">
        <f aca="false">IF(A33="","",IFERROR(SUMIF('Daily Dispatch'!$A:$A,A33,'Daily Dispatch'!M:M),0))</f>
        <v/>
      </c>
      <c r="N33" s="46" t="str">
        <f aca="false">IF(A33="","",SUM(B33:M33))</f>
        <v/>
      </c>
    </row>
    <row r="34" customFormat="false" ht="15.75" hidden="false" customHeight="true" outlineLevel="0" collapsed="false">
      <c r="A34" s="41"/>
      <c r="B34" s="42" t="str">
        <f aca="false">IF(A34="","",IFERROR(SUMIF('Daily Dispatch'!$A:$A,A34,'Daily Dispatch'!B:B),0))</f>
        <v/>
      </c>
      <c r="C34" s="42" t="str">
        <f aca="false">IF(A34="","",IFERROR(SUMIF('Daily Dispatch'!$A:$A,A34,'Daily Dispatch'!C:C),0))</f>
        <v/>
      </c>
      <c r="D34" s="42" t="str">
        <f aca="false">IF(A34="","",IFERROR(SUMIF('Daily Dispatch'!$A:$A,A34,'Daily Dispatch'!D:D),0))</f>
        <v/>
      </c>
      <c r="E34" s="42" t="str">
        <f aca="false">IF(A34="","",IFERROR(SUMIF('Daily Dispatch'!$A:$A,A34,'Daily Dispatch'!E:E),0))</f>
        <v/>
      </c>
      <c r="F34" s="42" t="str">
        <f aca="false">IF(A34="","",IFERROR(SUMIF('Daily Dispatch'!$A:$A,A34,'Daily Dispatch'!F:F),0))</f>
        <v/>
      </c>
      <c r="G34" s="42" t="str">
        <f aca="false">IF(A34="","",IFERROR(SUMIF('Daily Dispatch'!$A:$A,A34,'Daily Dispatch'!G:G),0))</f>
        <v/>
      </c>
      <c r="H34" s="42" t="str">
        <f aca="false">IF(A34="","",IFERROR(SUMIF('Daily Dispatch'!$A:$A,A34,'Daily Dispatch'!H:H),0))</f>
        <v/>
      </c>
      <c r="I34" s="42" t="str">
        <f aca="false">IF(A34="","",IFERROR(SUMIF('Daily Dispatch'!$A:$A,A34,'Daily Dispatch'!I:I),0))</f>
        <v/>
      </c>
      <c r="J34" s="42" t="str">
        <f aca="false">IF(A34="","",IFERROR(SUMIF('Daily Dispatch'!$A:$A,A34,'Daily Dispatch'!J:J),0))</f>
        <v/>
      </c>
      <c r="K34" s="42" t="str">
        <f aca="false">IF(A34="","",IFERROR(SUMIF('Daily Dispatch'!$A:$A,A34,'Daily Dispatch'!K:K),0))</f>
        <v/>
      </c>
      <c r="L34" s="42" t="str">
        <f aca="false">IF(A34="","",IFERROR(SUMIF('Daily Dispatch'!$A:$A,A34,'Daily Dispatch'!L:L),0))</f>
        <v/>
      </c>
      <c r="M34" s="42" t="str">
        <f aca="false">IF(A34="","",IFERROR(SUMIF('Daily Dispatch'!$A:$A,A34,'Daily Dispatch'!M:M),0))</f>
        <v/>
      </c>
      <c r="N34" s="43" t="str">
        <f aca="false">IF(A34="","",SUM(B34:M34))</f>
        <v/>
      </c>
    </row>
    <row r="35" customFormat="false" ht="15.75" hidden="false" customHeight="true" outlineLevel="0" collapsed="false">
      <c r="A35" s="44"/>
      <c r="B35" s="45" t="str">
        <f aca="false">IF(A35="","",IFERROR(SUMIF('Daily Dispatch'!$A:$A,A35,'Daily Dispatch'!B:B),0))</f>
        <v/>
      </c>
      <c r="C35" s="45" t="str">
        <f aca="false">IF(A35="","",IFERROR(SUMIF('Daily Dispatch'!$A:$A,A35,'Daily Dispatch'!C:C),0))</f>
        <v/>
      </c>
      <c r="D35" s="45" t="str">
        <f aca="false">IF(A35="","",IFERROR(SUMIF('Daily Dispatch'!$A:$A,A35,'Daily Dispatch'!D:D),0))</f>
        <v/>
      </c>
      <c r="E35" s="45" t="str">
        <f aca="false">IF(A35="","",IFERROR(SUMIF('Daily Dispatch'!$A:$A,A35,'Daily Dispatch'!E:E),0))</f>
        <v/>
      </c>
      <c r="F35" s="45" t="str">
        <f aca="false">IF(A35="","",IFERROR(SUMIF('Daily Dispatch'!$A:$A,A35,'Daily Dispatch'!F:F),0))</f>
        <v/>
      </c>
      <c r="G35" s="45" t="str">
        <f aca="false">IF(A35="","",IFERROR(SUMIF('Daily Dispatch'!$A:$A,A35,'Daily Dispatch'!G:G),0))</f>
        <v/>
      </c>
      <c r="H35" s="45" t="str">
        <f aca="false">IF(A35="","",IFERROR(SUMIF('Daily Dispatch'!$A:$A,A35,'Daily Dispatch'!H:H),0))</f>
        <v/>
      </c>
      <c r="I35" s="45" t="str">
        <f aca="false">IF(A35="","",IFERROR(SUMIF('Daily Dispatch'!$A:$A,A35,'Daily Dispatch'!I:I),0))</f>
        <v/>
      </c>
      <c r="J35" s="45" t="str">
        <f aca="false">IF(A35="","",IFERROR(SUMIF('Daily Dispatch'!$A:$A,A35,'Daily Dispatch'!J:J),0))</f>
        <v/>
      </c>
      <c r="K35" s="45" t="str">
        <f aca="false">IF(A35="","",IFERROR(SUMIF('Daily Dispatch'!$A:$A,A35,'Daily Dispatch'!K:K),0))</f>
        <v/>
      </c>
      <c r="L35" s="45" t="str">
        <f aca="false">IF(A35="","",IFERROR(SUMIF('Daily Dispatch'!$A:$A,A35,'Daily Dispatch'!L:L),0))</f>
        <v/>
      </c>
      <c r="M35" s="45" t="str">
        <f aca="false">IF(A35="","",IFERROR(SUMIF('Daily Dispatch'!$A:$A,A35,'Daily Dispatch'!M:M),0))</f>
        <v/>
      </c>
      <c r="N35" s="46" t="str">
        <f aca="false">IF(A35="","",SUM(B35:M35))</f>
        <v/>
      </c>
    </row>
    <row r="36" customFormat="false" ht="15.75" hidden="false" customHeight="true" outlineLevel="0" collapsed="false">
      <c r="A36" s="41"/>
      <c r="B36" s="42" t="str">
        <f aca="false">IF(A36="","",IFERROR(SUMIF('Daily Dispatch'!$A:$A,A36,'Daily Dispatch'!B:B),0))</f>
        <v/>
      </c>
      <c r="C36" s="42" t="str">
        <f aca="false">IF(A36="","",IFERROR(SUMIF('Daily Dispatch'!$A:$A,A36,'Daily Dispatch'!C:C),0))</f>
        <v/>
      </c>
      <c r="D36" s="42" t="str">
        <f aca="false">IF(A36="","",IFERROR(SUMIF('Daily Dispatch'!$A:$A,A36,'Daily Dispatch'!D:D),0))</f>
        <v/>
      </c>
      <c r="E36" s="42" t="str">
        <f aca="false">IF(A36="","",IFERROR(SUMIF('Daily Dispatch'!$A:$A,A36,'Daily Dispatch'!E:E),0))</f>
        <v/>
      </c>
      <c r="F36" s="42" t="str">
        <f aca="false">IF(A36="","",IFERROR(SUMIF('Daily Dispatch'!$A:$A,A36,'Daily Dispatch'!F:F),0))</f>
        <v/>
      </c>
      <c r="G36" s="42" t="str">
        <f aca="false">IF(A36="","",IFERROR(SUMIF('Daily Dispatch'!$A:$A,A36,'Daily Dispatch'!G:G),0))</f>
        <v/>
      </c>
      <c r="H36" s="42" t="str">
        <f aca="false">IF(A36="","",IFERROR(SUMIF('Daily Dispatch'!$A:$A,A36,'Daily Dispatch'!H:H),0))</f>
        <v/>
      </c>
      <c r="I36" s="42" t="str">
        <f aca="false">IF(A36="","",IFERROR(SUMIF('Daily Dispatch'!$A:$A,A36,'Daily Dispatch'!I:I),0))</f>
        <v/>
      </c>
      <c r="J36" s="42" t="str">
        <f aca="false">IF(A36="","",IFERROR(SUMIF('Daily Dispatch'!$A:$A,A36,'Daily Dispatch'!J:J),0))</f>
        <v/>
      </c>
      <c r="K36" s="42" t="str">
        <f aca="false">IF(A36="","",IFERROR(SUMIF('Daily Dispatch'!$A:$A,A36,'Daily Dispatch'!K:K),0))</f>
        <v/>
      </c>
      <c r="L36" s="42" t="str">
        <f aca="false">IF(A36="","",IFERROR(SUMIF('Daily Dispatch'!$A:$A,A36,'Daily Dispatch'!L:L),0))</f>
        <v/>
      </c>
      <c r="M36" s="42" t="str">
        <f aca="false">IF(A36="","",IFERROR(SUMIF('Daily Dispatch'!$A:$A,A36,'Daily Dispatch'!M:M),0))</f>
        <v/>
      </c>
      <c r="N36" s="43" t="str">
        <f aca="false">IF(A36="","",SUM(B36:M36))</f>
        <v/>
      </c>
    </row>
    <row r="37" customFormat="false" ht="15.75" hidden="false" customHeight="true" outlineLevel="0" collapsed="false">
      <c r="A37" s="44"/>
      <c r="B37" s="45" t="str">
        <f aca="false">IF(A37="","",IFERROR(SUMIF('Daily Dispatch'!$A:$A,A37,'Daily Dispatch'!B:B),0))</f>
        <v/>
      </c>
      <c r="C37" s="45" t="str">
        <f aca="false">IF(A37="","",IFERROR(SUMIF('Daily Dispatch'!$A:$A,A37,'Daily Dispatch'!C:C),0))</f>
        <v/>
      </c>
      <c r="D37" s="45" t="str">
        <f aca="false">IF(A37="","",IFERROR(SUMIF('Daily Dispatch'!$A:$A,A37,'Daily Dispatch'!D:D),0))</f>
        <v/>
      </c>
      <c r="E37" s="45" t="str">
        <f aca="false">IF(A37="","",IFERROR(SUMIF('Daily Dispatch'!$A:$A,A37,'Daily Dispatch'!E:E),0))</f>
        <v/>
      </c>
      <c r="F37" s="45" t="str">
        <f aca="false">IF(A37="","",IFERROR(SUMIF('Daily Dispatch'!$A:$A,A37,'Daily Dispatch'!F:F),0))</f>
        <v/>
      </c>
      <c r="G37" s="45" t="str">
        <f aca="false">IF(A37="","",IFERROR(SUMIF('Daily Dispatch'!$A:$A,A37,'Daily Dispatch'!G:G),0))</f>
        <v/>
      </c>
      <c r="H37" s="45" t="str">
        <f aca="false">IF(A37="","",IFERROR(SUMIF('Daily Dispatch'!$A:$A,A37,'Daily Dispatch'!H:H),0))</f>
        <v/>
      </c>
      <c r="I37" s="45" t="str">
        <f aca="false">IF(A37="","",IFERROR(SUMIF('Daily Dispatch'!$A:$A,A37,'Daily Dispatch'!I:I),0))</f>
        <v/>
      </c>
      <c r="J37" s="45" t="str">
        <f aca="false">IF(A37="","",IFERROR(SUMIF('Daily Dispatch'!$A:$A,A37,'Daily Dispatch'!J:J),0))</f>
        <v/>
      </c>
      <c r="K37" s="45" t="str">
        <f aca="false">IF(A37="","",IFERROR(SUMIF('Daily Dispatch'!$A:$A,A37,'Daily Dispatch'!K:K),0))</f>
        <v/>
      </c>
      <c r="L37" s="45" t="str">
        <f aca="false">IF(A37="","",IFERROR(SUMIF('Daily Dispatch'!$A:$A,A37,'Daily Dispatch'!L:L),0))</f>
        <v/>
      </c>
      <c r="M37" s="45" t="str">
        <f aca="false">IF(A37="","",IFERROR(SUMIF('Daily Dispatch'!$A:$A,A37,'Daily Dispatch'!M:M),0))</f>
        <v/>
      </c>
      <c r="N37" s="46" t="str">
        <f aca="false">IF(A37="","",SUM(B37:M37))</f>
        <v/>
      </c>
    </row>
    <row r="38" customFormat="false" ht="15.75" hidden="false" customHeight="true" outlineLevel="0" collapsed="false">
      <c r="A38" s="41"/>
      <c r="B38" s="42" t="str">
        <f aca="false">IF(A38="","",IFERROR(SUMIF('Daily Dispatch'!$A:$A,A38,'Daily Dispatch'!B:B),0))</f>
        <v/>
      </c>
      <c r="C38" s="42" t="str">
        <f aca="false">IF(A38="","",IFERROR(SUMIF('Daily Dispatch'!$A:$A,A38,'Daily Dispatch'!C:C),0))</f>
        <v/>
      </c>
      <c r="D38" s="42" t="str">
        <f aca="false">IF(A38="","",IFERROR(SUMIF('Daily Dispatch'!$A:$A,A38,'Daily Dispatch'!D:D),0))</f>
        <v/>
      </c>
      <c r="E38" s="42" t="str">
        <f aca="false">IF(A38="","",IFERROR(SUMIF('Daily Dispatch'!$A:$A,A38,'Daily Dispatch'!E:E),0))</f>
        <v/>
      </c>
      <c r="F38" s="42" t="str">
        <f aca="false">IF(A38="","",IFERROR(SUMIF('Daily Dispatch'!$A:$A,A38,'Daily Dispatch'!F:F),0))</f>
        <v/>
      </c>
      <c r="G38" s="42" t="str">
        <f aca="false">IF(A38="","",IFERROR(SUMIF('Daily Dispatch'!$A:$A,A38,'Daily Dispatch'!G:G),0))</f>
        <v/>
      </c>
      <c r="H38" s="42" t="str">
        <f aca="false">IF(A38="","",IFERROR(SUMIF('Daily Dispatch'!$A:$A,A38,'Daily Dispatch'!H:H),0))</f>
        <v/>
      </c>
      <c r="I38" s="42" t="str">
        <f aca="false">IF(A38="","",IFERROR(SUMIF('Daily Dispatch'!$A:$A,A38,'Daily Dispatch'!I:I),0))</f>
        <v/>
      </c>
      <c r="J38" s="42" t="str">
        <f aca="false">IF(A38="","",IFERROR(SUMIF('Daily Dispatch'!$A:$A,A38,'Daily Dispatch'!J:J),0))</f>
        <v/>
      </c>
      <c r="K38" s="42" t="str">
        <f aca="false">IF(A38="","",IFERROR(SUMIF('Daily Dispatch'!$A:$A,A38,'Daily Dispatch'!K:K),0))</f>
        <v/>
      </c>
      <c r="L38" s="42" t="str">
        <f aca="false">IF(A38="","",IFERROR(SUMIF('Daily Dispatch'!$A:$A,A38,'Daily Dispatch'!L:L),0))</f>
        <v/>
      </c>
      <c r="M38" s="42" t="str">
        <f aca="false">IF(A38="","",IFERROR(SUMIF('Daily Dispatch'!$A:$A,A38,'Daily Dispatch'!M:M),0))</f>
        <v/>
      </c>
      <c r="N38" s="43" t="str">
        <f aca="false">IF(A38="","",SUM(B38:M38))</f>
        <v/>
      </c>
    </row>
    <row r="39" customFormat="false" ht="15.75" hidden="false" customHeight="true" outlineLevel="0" collapsed="false">
      <c r="A39" s="44"/>
      <c r="B39" s="45" t="str">
        <f aca="false">IF(A39="","",IFERROR(SUMIF('Daily Dispatch'!$A:$A,A39,'Daily Dispatch'!B:B),0))</f>
        <v/>
      </c>
      <c r="C39" s="45" t="str">
        <f aca="false">IF(A39="","",IFERROR(SUMIF('Daily Dispatch'!$A:$A,A39,'Daily Dispatch'!C:C),0))</f>
        <v/>
      </c>
      <c r="D39" s="45" t="str">
        <f aca="false">IF(A39="","",IFERROR(SUMIF('Daily Dispatch'!$A:$A,A39,'Daily Dispatch'!D:D),0))</f>
        <v/>
      </c>
      <c r="E39" s="45" t="str">
        <f aca="false">IF(A39="","",IFERROR(SUMIF('Daily Dispatch'!$A:$A,A39,'Daily Dispatch'!E:E),0))</f>
        <v/>
      </c>
      <c r="F39" s="45" t="str">
        <f aca="false">IF(A39="","",IFERROR(SUMIF('Daily Dispatch'!$A:$A,A39,'Daily Dispatch'!F:F),0))</f>
        <v/>
      </c>
      <c r="G39" s="45" t="str">
        <f aca="false">IF(A39="","",IFERROR(SUMIF('Daily Dispatch'!$A:$A,A39,'Daily Dispatch'!G:G),0))</f>
        <v/>
      </c>
      <c r="H39" s="45" t="str">
        <f aca="false">IF(A39="","",IFERROR(SUMIF('Daily Dispatch'!$A:$A,A39,'Daily Dispatch'!H:H),0))</f>
        <v/>
      </c>
      <c r="I39" s="45" t="str">
        <f aca="false">IF(A39="","",IFERROR(SUMIF('Daily Dispatch'!$A:$A,A39,'Daily Dispatch'!I:I),0))</f>
        <v/>
      </c>
      <c r="J39" s="45" t="str">
        <f aca="false">IF(A39="","",IFERROR(SUMIF('Daily Dispatch'!$A:$A,A39,'Daily Dispatch'!J:J),0))</f>
        <v/>
      </c>
      <c r="K39" s="45" t="str">
        <f aca="false">IF(A39="","",IFERROR(SUMIF('Daily Dispatch'!$A:$A,A39,'Daily Dispatch'!K:K),0))</f>
        <v/>
      </c>
      <c r="L39" s="45" t="str">
        <f aca="false">IF(A39="","",IFERROR(SUMIF('Daily Dispatch'!$A:$A,A39,'Daily Dispatch'!L:L),0))</f>
        <v/>
      </c>
      <c r="M39" s="45" t="str">
        <f aca="false">IF(A39="","",IFERROR(SUMIF('Daily Dispatch'!$A:$A,A39,'Daily Dispatch'!M:M),0))</f>
        <v/>
      </c>
      <c r="N39" s="46" t="str">
        <f aca="false">IF(A39="","",SUM(B39:M39))</f>
        <v/>
      </c>
    </row>
    <row r="40" customFormat="false" ht="15.75" hidden="false" customHeight="true" outlineLevel="0" collapsed="false">
      <c r="A40" s="41"/>
      <c r="B40" s="42" t="str">
        <f aca="false">IF(A40="","",IFERROR(SUMIF('Daily Dispatch'!$A:$A,A40,'Daily Dispatch'!B:B),0))</f>
        <v/>
      </c>
      <c r="C40" s="42" t="str">
        <f aca="false">IF(A40="","",IFERROR(SUMIF('Daily Dispatch'!$A:$A,A40,'Daily Dispatch'!C:C),0))</f>
        <v/>
      </c>
      <c r="D40" s="42" t="str">
        <f aca="false">IF(A40="","",IFERROR(SUMIF('Daily Dispatch'!$A:$A,A40,'Daily Dispatch'!D:D),0))</f>
        <v/>
      </c>
      <c r="E40" s="42" t="str">
        <f aca="false">IF(A40="","",IFERROR(SUMIF('Daily Dispatch'!$A:$A,A40,'Daily Dispatch'!E:E),0))</f>
        <v/>
      </c>
      <c r="F40" s="42" t="str">
        <f aca="false">IF(A40="","",IFERROR(SUMIF('Daily Dispatch'!$A:$A,A40,'Daily Dispatch'!F:F),0))</f>
        <v/>
      </c>
      <c r="G40" s="42" t="str">
        <f aca="false">IF(A40="","",IFERROR(SUMIF('Daily Dispatch'!$A:$A,A40,'Daily Dispatch'!G:G),0))</f>
        <v/>
      </c>
      <c r="H40" s="42" t="str">
        <f aca="false">IF(A40="","",IFERROR(SUMIF('Daily Dispatch'!$A:$A,A40,'Daily Dispatch'!H:H),0))</f>
        <v/>
      </c>
      <c r="I40" s="42" t="str">
        <f aca="false">IF(A40="","",IFERROR(SUMIF('Daily Dispatch'!$A:$A,A40,'Daily Dispatch'!I:I),0))</f>
        <v/>
      </c>
      <c r="J40" s="42" t="str">
        <f aca="false">IF(A40="","",IFERROR(SUMIF('Daily Dispatch'!$A:$A,A40,'Daily Dispatch'!J:J),0))</f>
        <v/>
      </c>
      <c r="K40" s="42" t="str">
        <f aca="false">IF(A40="","",IFERROR(SUMIF('Daily Dispatch'!$A:$A,A40,'Daily Dispatch'!K:K),0))</f>
        <v/>
      </c>
      <c r="L40" s="42" t="str">
        <f aca="false">IF(A40="","",IFERROR(SUMIF('Daily Dispatch'!$A:$A,A40,'Daily Dispatch'!L:L),0))</f>
        <v/>
      </c>
      <c r="M40" s="42" t="str">
        <f aca="false">IF(A40="","",IFERROR(SUMIF('Daily Dispatch'!$A:$A,A40,'Daily Dispatch'!M:M),0))</f>
        <v/>
      </c>
      <c r="N40" s="43" t="str">
        <f aca="false">IF(A40="","",SUM(B40:M40))</f>
        <v/>
      </c>
    </row>
    <row r="41" customFormat="false" ht="15.75" hidden="false" customHeight="true" outlineLevel="0" collapsed="false">
      <c r="A41" s="44"/>
      <c r="B41" s="45" t="str">
        <f aca="false">IF(A41="","",IFERROR(SUMIF('Daily Dispatch'!$A:$A,A41,'Daily Dispatch'!B:B),0))</f>
        <v/>
      </c>
      <c r="C41" s="45" t="str">
        <f aca="false">IF(A41="","",IFERROR(SUMIF('Daily Dispatch'!$A:$A,A41,'Daily Dispatch'!C:C),0))</f>
        <v/>
      </c>
      <c r="D41" s="45" t="str">
        <f aca="false">IF(A41="","",IFERROR(SUMIF('Daily Dispatch'!$A:$A,A41,'Daily Dispatch'!D:D),0))</f>
        <v/>
      </c>
      <c r="E41" s="45" t="str">
        <f aca="false">IF(A41="","",IFERROR(SUMIF('Daily Dispatch'!$A:$A,A41,'Daily Dispatch'!E:E),0))</f>
        <v/>
      </c>
      <c r="F41" s="45" t="str">
        <f aca="false">IF(A41="","",IFERROR(SUMIF('Daily Dispatch'!$A:$A,A41,'Daily Dispatch'!F:F),0))</f>
        <v/>
      </c>
      <c r="G41" s="45" t="str">
        <f aca="false">IF(A41="","",IFERROR(SUMIF('Daily Dispatch'!$A:$A,A41,'Daily Dispatch'!G:G),0))</f>
        <v/>
      </c>
      <c r="H41" s="45" t="str">
        <f aca="false">IF(A41="","",IFERROR(SUMIF('Daily Dispatch'!$A:$A,A41,'Daily Dispatch'!H:H),0))</f>
        <v/>
      </c>
      <c r="I41" s="45" t="str">
        <f aca="false">IF(A41="","",IFERROR(SUMIF('Daily Dispatch'!$A:$A,A41,'Daily Dispatch'!I:I),0))</f>
        <v/>
      </c>
      <c r="J41" s="45" t="str">
        <f aca="false">IF(A41="","",IFERROR(SUMIF('Daily Dispatch'!$A:$A,A41,'Daily Dispatch'!J:J),0))</f>
        <v/>
      </c>
      <c r="K41" s="45" t="str">
        <f aca="false">IF(A41="","",IFERROR(SUMIF('Daily Dispatch'!$A:$A,A41,'Daily Dispatch'!K:K),0))</f>
        <v/>
      </c>
      <c r="L41" s="45" t="str">
        <f aca="false">IF(A41="","",IFERROR(SUMIF('Daily Dispatch'!$A:$A,A41,'Daily Dispatch'!L:L),0))</f>
        <v/>
      </c>
      <c r="M41" s="45" t="str">
        <f aca="false">IF(A41="","",IFERROR(SUMIF('Daily Dispatch'!$A:$A,A41,'Daily Dispatch'!M:M),0))</f>
        <v/>
      </c>
      <c r="N41" s="46" t="str">
        <f aca="false">IF(A41="","",SUM(B41:M41))</f>
        <v/>
      </c>
    </row>
    <row r="42" customFormat="false" ht="15.75" hidden="false" customHeight="true" outlineLevel="0" collapsed="false">
      <c r="A42" s="41"/>
      <c r="B42" s="42" t="str">
        <f aca="false">IF(A42="","",IFERROR(SUMIF('Daily Dispatch'!$A:$A,A42,'Daily Dispatch'!B:B),0))</f>
        <v/>
      </c>
      <c r="C42" s="42" t="str">
        <f aca="false">IF(A42="","",IFERROR(SUMIF('Daily Dispatch'!$A:$A,A42,'Daily Dispatch'!C:C),0))</f>
        <v/>
      </c>
      <c r="D42" s="42" t="str">
        <f aca="false">IF(A42="","",IFERROR(SUMIF('Daily Dispatch'!$A:$A,A42,'Daily Dispatch'!D:D),0))</f>
        <v/>
      </c>
      <c r="E42" s="42" t="str">
        <f aca="false">IF(A42="","",IFERROR(SUMIF('Daily Dispatch'!$A:$A,A42,'Daily Dispatch'!E:E),0))</f>
        <v/>
      </c>
      <c r="F42" s="42" t="str">
        <f aca="false">IF(A42="","",IFERROR(SUMIF('Daily Dispatch'!$A:$A,A42,'Daily Dispatch'!F:F),0))</f>
        <v/>
      </c>
      <c r="G42" s="42" t="str">
        <f aca="false">IF(A42="","",IFERROR(SUMIF('Daily Dispatch'!$A:$A,A42,'Daily Dispatch'!G:G),0))</f>
        <v/>
      </c>
      <c r="H42" s="42" t="str">
        <f aca="false">IF(A42="","",IFERROR(SUMIF('Daily Dispatch'!$A:$A,A42,'Daily Dispatch'!H:H),0))</f>
        <v/>
      </c>
      <c r="I42" s="42" t="str">
        <f aca="false">IF(A42="","",IFERROR(SUMIF('Daily Dispatch'!$A:$A,A42,'Daily Dispatch'!I:I),0))</f>
        <v/>
      </c>
      <c r="J42" s="42" t="str">
        <f aca="false">IF(A42="","",IFERROR(SUMIF('Daily Dispatch'!$A:$A,A42,'Daily Dispatch'!J:J),0))</f>
        <v/>
      </c>
      <c r="K42" s="42" t="str">
        <f aca="false">IF(A42="","",IFERROR(SUMIF('Daily Dispatch'!$A:$A,A42,'Daily Dispatch'!K:K),0))</f>
        <v/>
      </c>
      <c r="L42" s="42" t="str">
        <f aca="false">IF(A42="","",IFERROR(SUMIF('Daily Dispatch'!$A:$A,A42,'Daily Dispatch'!L:L),0))</f>
        <v/>
      </c>
      <c r="M42" s="42" t="str">
        <f aca="false">IF(A42="","",IFERROR(SUMIF('Daily Dispatch'!$A:$A,A42,'Daily Dispatch'!M:M),0))</f>
        <v/>
      </c>
      <c r="N42" s="43" t="str">
        <f aca="false">IF(A42="","",SUM(B42:M42))</f>
        <v/>
      </c>
    </row>
    <row r="43" customFormat="false" ht="15.75" hidden="false" customHeight="true" outlineLevel="0" collapsed="false">
      <c r="A43" s="44"/>
      <c r="B43" s="45" t="str">
        <f aca="false">IF(A43="","",IFERROR(SUMIF('Daily Dispatch'!$A:$A,A43,'Daily Dispatch'!B:B),0))</f>
        <v/>
      </c>
      <c r="C43" s="45" t="str">
        <f aca="false">IF(A43="","",IFERROR(SUMIF('Daily Dispatch'!$A:$A,A43,'Daily Dispatch'!C:C),0))</f>
        <v/>
      </c>
      <c r="D43" s="45" t="str">
        <f aca="false">IF(A43="","",IFERROR(SUMIF('Daily Dispatch'!$A:$A,A43,'Daily Dispatch'!D:D),0))</f>
        <v/>
      </c>
      <c r="E43" s="45" t="str">
        <f aca="false">IF(A43="","",IFERROR(SUMIF('Daily Dispatch'!$A:$A,A43,'Daily Dispatch'!E:E),0))</f>
        <v/>
      </c>
      <c r="F43" s="45" t="str">
        <f aca="false">IF(A43="","",IFERROR(SUMIF('Daily Dispatch'!$A:$A,A43,'Daily Dispatch'!F:F),0))</f>
        <v/>
      </c>
      <c r="G43" s="45" t="str">
        <f aca="false">IF(A43="","",IFERROR(SUMIF('Daily Dispatch'!$A:$A,A43,'Daily Dispatch'!G:G),0))</f>
        <v/>
      </c>
      <c r="H43" s="45" t="str">
        <f aca="false">IF(A43="","",IFERROR(SUMIF('Daily Dispatch'!$A:$A,A43,'Daily Dispatch'!H:H),0))</f>
        <v/>
      </c>
      <c r="I43" s="45" t="str">
        <f aca="false">IF(A43="","",IFERROR(SUMIF('Daily Dispatch'!$A:$A,A43,'Daily Dispatch'!I:I),0))</f>
        <v/>
      </c>
      <c r="J43" s="45" t="str">
        <f aca="false">IF(A43="","",IFERROR(SUMIF('Daily Dispatch'!$A:$A,A43,'Daily Dispatch'!J:J),0))</f>
        <v/>
      </c>
      <c r="K43" s="45" t="str">
        <f aca="false">IF(A43="","",IFERROR(SUMIF('Daily Dispatch'!$A:$A,A43,'Daily Dispatch'!K:K),0))</f>
        <v/>
      </c>
      <c r="L43" s="45" t="str">
        <f aca="false">IF(A43="","",IFERROR(SUMIF('Daily Dispatch'!$A:$A,A43,'Daily Dispatch'!L:L),0))</f>
        <v/>
      </c>
      <c r="M43" s="45" t="str">
        <f aca="false">IF(A43="","",IFERROR(SUMIF('Daily Dispatch'!$A:$A,A43,'Daily Dispatch'!M:M),0))</f>
        <v/>
      </c>
      <c r="N43" s="46" t="str">
        <f aca="false">IF(A43="","",SUM(B43:M43))</f>
        <v/>
      </c>
    </row>
    <row r="44" customFormat="false" ht="15.75" hidden="false" customHeight="true" outlineLevel="0" collapsed="false">
      <c r="A44" s="41"/>
      <c r="B44" s="42" t="str">
        <f aca="false">IF(A44="","",IFERROR(SUMIF('Daily Dispatch'!$A:$A,A44,'Daily Dispatch'!B:B),0))</f>
        <v/>
      </c>
      <c r="C44" s="42" t="str">
        <f aca="false">IF(A44="","",IFERROR(SUMIF('Daily Dispatch'!$A:$A,A44,'Daily Dispatch'!C:C),0))</f>
        <v/>
      </c>
      <c r="D44" s="42" t="str">
        <f aca="false">IF(A44="","",IFERROR(SUMIF('Daily Dispatch'!$A:$A,A44,'Daily Dispatch'!D:D),0))</f>
        <v/>
      </c>
      <c r="E44" s="42" t="str">
        <f aca="false">IF(A44="","",IFERROR(SUMIF('Daily Dispatch'!$A:$A,A44,'Daily Dispatch'!E:E),0))</f>
        <v/>
      </c>
      <c r="F44" s="42" t="str">
        <f aca="false">IF(A44="","",IFERROR(SUMIF('Daily Dispatch'!$A:$A,A44,'Daily Dispatch'!F:F),0))</f>
        <v/>
      </c>
      <c r="G44" s="42" t="str">
        <f aca="false">IF(A44="","",IFERROR(SUMIF('Daily Dispatch'!$A:$A,A44,'Daily Dispatch'!G:G),0))</f>
        <v/>
      </c>
      <c r="H44" s="42" t="str">
        <f aca="false">IF(A44="","",IFERROR(SUMIF('Daily Dispatch'!$A:$A,A44,'Daily Dispatch'!H:H),0))</f>
        <v/>
      </c>
      <c r="I44" s="42" t="str">
        <f aca="false">IF(A44="","",IFERROR(SUMIF('Daily Dispatch'!$A:$A,A44,'Daily Dispatch'!I:I),0))</f>
        <v/>
      </c>
      <c r="J44" s="42" t="str">
        <f aca="false">IF(A44="","",IFERROR(SUMIF('Daily Dispatch'!$A:$A,A44,'Daily Dispatch'!J:J),0))</f>
        <v/>
      </c>
      <c r="K44" s="42" t="str">
        <f aca="false">IF(A44="","",IFERROR(SUMIF('Daily Dispatch'!$A:$A,A44,'Daily Dispatch'!K:K),0))</f>
        <v/>
      </c>
      <c r="L44" s="42" t="str">
        <f aca="false">IF(A44="","",IFERROR(SUMIF('Daily Dispatch'!$A:$A,A44,'Daily Dispatch'!L:L),0))</f>
        <v/>
      </c>
      <c r="M44" s="42" t="str">
        <f aca="false">IF(A44="","",IFERROR(SUMIF('Daily Dispatch'!$A:$A,A44,'Daily Dispatch'!M:M),0))</f>
        <v/>
      </c>
      <c r="N44" s="43" t="str">
        <f aca="false">IF(A44="","",SUM(B44:M44))</f>
        <v/>
      </c>
    </row>
    <row r="45" customFormat="false" ht="15.75" hidden="false" customHeight="true" outlineLevel="0" collapsed="false">
      <c r="A45" s="44"/>
      <c r="B45" s="45" t="str">
        <f aca="false">IF(A45="","",IFERROR(SUMIF('Daily Dispatch'!$A:$A,A45,'Daily Dispatch'!B:B),0))</f>
        <v/>
      </c>
      <c r="C45" s="45" t="str">
        <f aca="false">IF(A45="","",IFERROR(SUMIF('Daily Dispatch'!$A:$A,A45,'Daily Dispatch'!C:C),0))</f>
        <v/>
      </c>
      <c r="D45" s="45" t="str">
        <f aca="false">IF(A45="","",IFERROR(SUMIF('Daily Dispatch'!$A:$A,A45,'Daily Dispatch'!D:D),0))</f>
        <v/>
      </c>
      <c r="E45" s="45" t="str">
        <f aca="false">IF(A45="","",IFERROR(SUMIF('Daily Dispatch'!$A:$A,A45,'Daily Dispatch'!E:E),0))</f>
        <v/>
      </c>
      <c r="F45" s="45" t="str">
        <f aca="false">IF(A45="","",IFERROR(SUMIF('Daily Dispatch'!$A:$A,A45,'Daily Dispatch'!F:F),0))</f>
        <v/>
      </c>
      <c r="G45" s="45" t="str">
        <f aca="false">IF(A45="","",IFERROR(SUMIF('Daily Dispatch'!$A:$A,A45,'Daily Dispatch'!G:G),0))</f>
        <v/>
      </c>
      <c r="H45" s="45" t="str">
        <f aca="false">IF(A45="","",IFERROR(SUMIF('Daily Dispatch'!$A:$A,A45,'Daily Dispatch'!H:H),0))</f>
        <v/>
      </c>
      <c r="I45" s="45" t="str">
        <f aca="false">IF(A45="","",IFERROR(SUMIF('Daily Dispatch'!$A:$A,A45,'Daily Dispatch'!I:I),0))</f>
        <v/>
      </c>
      <c r="J45" s="45" t="str">
        <f aca="false">IF(A45="","",IFERROR(SUMIF('Daily Dispatch'!$A:$A,A45,'Daily Dispatch'!J:J),0))</f>
        <v/>
      </c>
      <c r="K45" s="45" t="str">
        <f aca="false">IF(A45="","",IFERROR(SUMIF('Daily Dispatch'!$A:$A,A45,'Daily Dispatch'!K:K),0))</f>
        <v/>
      </c>
      <c r="L45" s="45" t="str">
        <f aca="false">IF(A45="","",IFERROR(SUMIF('Daily Dispatch'!$A:$A,A45,'Daily Dispatch'!L:L),0))</f>
        <v/>
      </c>
      <c r="M45" s="45" t="str">
        <f aca="false">IF(A45="","",IFERROR(SUMIF('Daily Dispatch'!$A:$A,A45,'Daily Dispatch'!M:M),0))</f>
        <v/>
      </c>
      <c r="N45" s="46" t="str">
        <f aca="false">IF(A45="","",SUM(B45:M45))</f>
        <v/>
      </c>
    </row>
    <row r="46" customFormat="false" ht="15.75" hidden="false" customHeight="true" outlineLevel="0" collapsed="false">
      <c r="A46" s="41"/>
      <c r="B46" s="42" t="str">
        <f aca="false">IF(A46="","",IFERROR(SUMIF('Daily Dispatch'!$A:$A,A46,'Daily Dispatch'!B:B),0))</f>
        <v/>
      </c>
      <c r="C46" s="42" t="str">
        <f aca="false">IF(A46="","",IFERROR(SUMIF('Daily Dispatch'!$A:$A,A46,'Daily Dispatch'!C:C),0))</f>
        <v/>
      </c>
      <c r="D46" s="42" t="str">
        <f aca="false">IF(A46="","",IFERROR(SUMIF('Daily Dispatch'!$A:$A,A46,'Daily Dispatch'!D:D),0))</f>
        <v/>
      </c>
      <c r="E46" s="42" t="str">
        <f aca="false">IF(A46="","",IFERROR(SUMIF('Daily Dispatch'!$A:$A,A46,'Daily Dispatch'!E:E),0))</f>
        <v/>
      </c>
      <c r="F46" s="42" t="str">
        <f aca="false">IF(A46="","",IFERROR(SUMIF('Daily Dispatch'!$A:$A,A46,'Daily Dispatch'!F:F),0))</f>
        <v/>
      </c>
      <c r="G46" s="42" t="str">
        <f aca="false">IF(A46="","",IFERROR(SUMIF('Daily Dispatch'!$A:$A,A46,'Daily Dispatch'!G:G),0))</f>
        <v/>
      </c>
      <c r="H46" s="42" t="str">
        <f aca="false">IF(A46="","",IFERROR(SUMIF('Daily Dispatch'!$A:$A,A46,'Daily Dispatch'!H:H),0))</f>
        <v/>
      </c>
      <c r="I46" s="42" t="str">
        <f aca="false">IF(A46="","",IFERROR(SUMIF('Daily Dispatch'!$A:$A,A46,'Daily Dispatch'!I:I),0))</f>
        <v/>
      </c>
      <c r="J46" s="42" t="str">
        <f aca="false">IF(A46="","",IFERROR(SUMIF('Daily Dispatch'!$A:$A,A46,'Daily Dispatch'!J:J),0))</f>
        <v/>
      </c>
      <c r="K46" s="42" t="str">
        <f aca="false">IF(A46="","",IFERROR(SUMIF('Daily Dispatch'!$A:$A,A46,'Daily Dispatch'!K:K),0))</f>
        <v/>
      </c>
      <c r="L46" s="42" t="str">
        <f aca="false">IF(A46="","",IFERROR(SUMIF('Daily Dispatch'!$A:$A,A46,'Daily Dispatch'!L:L),0))</f>
        <v/>
      </c>
      <c r="M46" s="42" t="str">
        <f aca="false">IF(A46="","",IFERROR(SUMIF('Daily Dispatch'!$A:$A,A46,'Daily Dispatch'!M:M),0))</f>
        <v/>
      </c>
      <c r="N46" s="43" t="str">
        <f aca="false">IF(A46="","",SUM(B46:M46))</f>
        <v/>
      </c>
    </row>
    <row r="47" customFormat="false" ht="15.75" hidden="false" customHeight="true" outlineLevel="0" collapsed="false">
      <c r="A47" s="44"/>
      <c r="B47" s="45" t="str">
        <f aca="false">IF(A47="","",IFERROR(SUMIF('Daily Dispatch'!$A:$A,A47,'Daily Dispatch'!B:B),0))</f>
        <v/>
      </c>
      <c r="C47" s="45" t="str">
        <f aca="false">IF(A47="","",IFERROR(SUMIF('Daily Dispatch'!$A:$A,A47,'Daily Dispatch'!C:C),0))</f>
        <v/>
      </c>
      <c r="D47" s="45" t="str">
        <f aca="false">IF(A47="","",IFERROR(SUMIF('Daily Dispatch'!$A:$A,A47,'Daily Dispatch'!D:D),0))</f>
        <v/>
      </c>
      <c r="E47" s="45" t="str">
        <f aca="false">IF(A47="","",IFERROR(SUMIF('Daily Dispatch'!$A:$A,A47,'Daily Dispatch'!E:E),0))</f>
        <v/>
      </c>
      <c r="F47" s="45" t="str">
        <f aca="false">IF(A47="","",IFERROR(SUMIF('Daily Dispatch'!$A:$A,A47,'Daily Dispatch'!F:F),0))</f>
        <v/>
      </c>
      <c r="G47" s="45" t="str">
        <f aca="false">IF(A47="","",IFERROR(SUMIF('Daily Dispatch'!$A:$A,A47,'Daily Dispatch'!G:G),0))</f>
        <v/>
      </c>
      <c r="H47" s="45" t="str">
        <f aca="false">IF(A47="","",IFERROR(SUMIF('Daily Dispatch'!$A:$A,A47,'Daily Dispatch'!H:H),0))</f>
        <v/>
      </c>
      <c r="I47" s="45" t="str">
        <f aca="false">IF(A47="","",IFERROR(SUMIF('Daily Dispatch'!$A:$A,A47,'Daily Dispatch'!I:I),0))</f>
        <v/>
      </c>
      <c r="J47" s="45" t="str">
        <f aca="false">IF(A47="","",IFERROR(SUMIF('Daily Dispatch'!$A:$A,A47,'Daily Dispatch'!J:J),0))</f>
        <v/>
      </c>
      <c r="K47" s="45" t="str">
        <f aca="false">IF(A47="","",IFERROR(SUMIF('Daily Dispatch'!$A:$A,A47,'Daily Dispatch'!K:K),0))</f>
        <v/>
      </c>
      <c r="L47" s="45" t="str">
        <f aca="false">IF(A47="","",IFERROR(SUMIF('Daily Dispatch'!$A:$A,A47,'Daily Dispatch'!L:L),0))</f>
        <v/>
      </c>
      <c r="M47" s="45" t="str">
        <f aca="false">IF(A47="","",IFERROR(SUMIF('Daily Dispatch'!$A:$A,A47,'Daily Dispatch'!M:M),0))</f>
        <v/>
      </c>
      <c r="N47" s="46" t="str">
        <f aca="false">IF(A47="","",SUM(B47:M47))</f>
        <v/>
      </c>
    </row>
    <row r="48" customFormat="false" ht="15.75" hidden="false" customHeight="true" outlineLevel="0" collapsed="false">
      <c r="A48" s="41"/>
      <c r="B48" s="42" t="str">
        <f aca="false">IF(A48="","",IFERROR(SUMIF('Daily Dispatch'!$A:$A,A48,'Daily Dispatch'!B:B),0))</f>
        <v/>
      </c>
      <c r="C48" s="42" t="str">
        <f aca="false">IF(A48="","",IFERROR(SUMIF('Daily Dispatch'!$A:$A,A48,'Daily Dispatch'!C:C),0))</f>
        <v/>
      </c>
      <c r="D48" s="42" t="str">
        <f aca="false">IF(A48="","",IFERROR(SUMIF('Daily Dispatch'!$A:$A,A48,'Daily Dispatch'!D:D),0))</f>
        <v/>
      </c>
      <c r="E48" s="42" t="str">
        <f aca="false">IF(A48="","",IFERROR(SUMIF('Daily Dispatch'!$A:$A,A48,'Daily Dispatch'!E:E),0))</f>
        <v/>
      </c>
      <c r="F48" s="42" t="str">
        <f aca="false">IF(A48="","",IFERROR(SUMIF('Daily Dispatch'!$A:$A,A48,'Daily Dispatch'!F:F),0))</f>
        <v/>
      </c>
      <c r="G48" s="42" t="str">
        <f aca="false">IF(A48="","",IFERROR(SUMIF('Daily Dispatch'!$A:$A,A48,'Daily Dispatch'!G:G),0))</f>
        <v/>
      </c>
      <c r="H48" s="42" t="str">
        <f aca="false">IF(A48="","",IFERROR(SUMIF('Daily Dispatch'!$A:$A,A48,'Daily Dispatch'!H:H),0))</f>
        <v/>
      </c>
      <c r="I48" s="42" t="str">
        <f aca="false">IF(A48="","",IFERROR(SUMIF('Daily Dispatch'!$A:$A,A48,'Daily Dispatch'!I:I),0))</f>
        <v/>
      </c>
      <c r="J48" s="42" t="str">
        <f aca="false">IF(A48="","",IFERROR(SUMIF('Daily Dispatch'!$A:$A,A48,'Daily Dispatch'!J:J),0))</f>
        <v/>
      </c>
      <c r="K48" s="42" t="str">
        <f aca="false">IF(A48="","",IFERROR(SUMIF('Daily Dispatch'!$A:$A,A48,'Daily Dispatch'!K:K),0))</f>
        <v/>
      </c>
      <c r="L48" s="42" t="str">
        <f aca="false">IF(A48="","",IFERROR(SUMIF('Daily Dispatch'!$A:$A,A48,'Daily Dispatch'!L:L),0))</f>
        <v/>
      </c>
      <c r="M48" s="42" t="str">
        <f aca="false">IF(A48="","",IFERROR(SUMIF('Daily Dispatch'!$A:$A,A48,'Daily Dispatch'!M:M),0))</f>
        <v/>
      </c>
      <c r="N48" s="43" t="str">
        <f aca="false">IF(A48="","",SUM(B48:M48))</f>
        <v/>
      </c>
    </row>
    <row r="49" customFormat="false" ht="15.75" hidden="false" customHeight="true" outlineLevel="0" collapsed="false">
      <c r="A49" s="44"/>
      <c r="B49" s="45" t="str">
        <f aca="false">IF(A49="","",IFERROR(SUMIF('Daily Dispatch'!$A:$A,A49,'Daily Dispatch'!B:B),0))</f>
        <v/>
      </c>
      <c r="C49" s="45" t="str">
        <f aca="false">IF(A49="","",IFERROR(SUMIF('Daily Dispatch'!$A:$A,A49,'Daily Dispatch'!C:C),0))</f>
        <v/>
      </c>
      <c r="D49" s="45" t="str">
        <f aca="false">IF(A49="","",IFERROR(SUMIF('Daily Dispatch'!$A:$A,A49,'Daily Dispatch'!D:D),0))</f>
        <v/>
      </c>
      <c r="E49" s="45" t="str">
        <f aca="false">IF(A49="","",IFERROR(SUMIF('Daily Dispatch'!$A:$A,A49,'Daily Dispatch'!E:E),0))</f>
        <v/>
      </c>
      <c r="F49" s="45" t="str">
        <f aca="false">IF(A49="","",IFERROR(SUMIF('Daily Dispatch'!$A:$A,A49,'Daily Dispatch'!F:F),0))</f>
        <v/>
      </c>
      <c r="G49" s="45" t="str">
        <f aca="false">IF(A49="","",IFERROR(SUMIF('Daily Dispatch'!$A:$A,A49,'Daily Dispatch'!G:G),0))</f>
        <v/>
      </c>
      <c r="H49" s="45" t="str">
        <f aca="false">IF(A49="","",IFERROR(SUMIF('Daily Dispatch'!$A:$A,A49,'Daily Dispatch'!H:H),0))</f>
        <v/>
      </c>
      <c r="I49" s="45" t="str">
        <f aca="false">IF(A49="","",IFERROR(SUMIF('Daily Dispatch'!$A:$A,A49,'Daily Dispatch'!I:I),0))</f>
        <v/>
      </c>
      <c r="J49" s="45" t="str">
        <f aca="false">IF(A49="","",IFERROR(SUMIF('Daily Dispatch'!$A:$A,A49,'Daily Dispatch'!J:J),0))</f>
        <v/>
      </c>
      <c r="K49" s="45" t="str">
        <f aca="false">IF(A49="","",IFERROR(SUMIF('Daily Dispatch'!$A:$A,A49,'Daily Dispatch'!K:K),0))</f>
        <v/>
      </c>
      <c r="L49" s="45" t="str">
        <f aca="false">IF(A49="","",IFERROR(SUMIF('Daily Dispatch'!$A:$A,A49,'Daily Dispatch'!L:L),0))</f>
        <v/>
      </c>
      <c r="M49" s="45" t="str">
        <f aca="false">IF(A49="","",IFERROR(SUMIF('Daily Dispatch'!$A:$A,A49,'Daily Dispatch'!M:M),0))</f>
        <v/>
      </c>
      <c r="N49" s="46" t="str">
        <f aca="false">IF(A49="","",SUM(B49:M49))</f>
        <v/>
      </c>
    </row>
    <row r="50" customFormat="false" ht="15.75" hidden="false" customHeight="true" outlineLevel="0" collapsed="false">
      <c r="A50" s="41"/>
      <c r="B50" s="42" t="str">
        <f aca="false">IF(A50="","",IFERROR(SUMIF('Daily Dispatch'!$A:$A,A50,'Daily Dispatch'!B:B),0))</f>
        <v/>
      </c>
      <c r="C50" s="42" t="str">
        <f aca="false">IF(A50="","",IFERROR(SUMIF('Daily Dispatch'!$A:$A,A50,'Daily Dispatch'!C:C),0))</f>
        <v/>
      </c>
      <c r="D50" s="42" t="str">
        <f aca="false">IF(A50="","",IFERROR(SUMIF('Daily Dispatch'!$A:$A,A50,'Daily Dispatch'!D:D),0))</f>
        <v/>
      </c>
      <c r="E50" s="42" t="str">
        <f aca="false">IF(A50="","",IFERROR(SUMIF('Daily Dispatch'!$A:$A,A50,'Daily Dispatch'!E:E),0))</f>
        <v/>
      </c>
      <c r="F50" s="42" t="str">
        <f aca="false">IF(A50="","",IFERROR(SUMIF('Daily Dispatch'!$A:$A,A50,'Daily Dispatch'!F:F),0))</f>
        <v/>
      </c>
      <c r="G50" s="42" t="str">
        <f aca="false">IF(A50="","",IFERROR(SUMIF('Daily Dispatch'!$A:$A,A50,'Daily Dispatch'!G:G),0))</f>
        <v/>
      </c>
      <c r="H50" s="42" t="str">
        <f aca="false">IF(A50="","",IFERROR(SUMIF('Daily Dispatch'!$A:$A,A50,'Daily Dispatch'!H:H),0))</f>
        <v/>
      </c>
      <c r="I50" s="42" t="str">
        <f aca="false">IF(A50="","",IFERROR(SUMIF('Daily Dispatch'!$A:$A,A50,'Daily Dispatch'!I:I),0))</f>
        <v/>
      </c>
      <c r="J50" s="42" t="str">
        <f aca="false">IF(A50="","",IFERROR(SUMIF('Daily Dispatch'!$A:$A,A50,'Daily Dispatch'!J:J),0))</f>
        <v/>
      </c>
      <c r="K50" s="42" t="str">
        <f aca="false">IF(A50="","",IFERROR(SUMIF('Daily Dispatch'!$A:$A,A50,'Daily Dispatch'!K:K),0))</f>
        <v/>
      </c>
      <c r="L50" s="42" t="str">
        <f aca="false">IF(A50="","",IFERROR(SUMIF('Daily Dispatch'!$A:$A,A50,'Daily Dispatch'!L:L),0))</f>
        <v/>
      </c>
      <c r="M50" s="42" t="str">
        <f aca="false">IF(A50="","",IFERROR(SUMIF('Daily Dispatch'!$A:$A,A50,'Daily Dispatch'!M:M),0))</f>
        <v/>
      </c>
      <c r="N50" s="43" t="str">
        <f aca="false">IF(A50="","",SUM(B50:M50))</f>
        <v/>
      </c>
    </row>
    <row r="51" customFormat="false" ht="15.75" hidden="false" customHeight="true" outlineLevel="0" collapsed="false">
      <c r="A51" s="44"/>
      <c r="B51" s="45" t="str">
        <f aca="false">IF(A51="","",IFERROR(SUMIF('Daily Dispatch'!$A:$A,A51,'Daily Dispatch'!B:B),0))</f>
        <v/>
      </c>
      <c r="C51" s="45" t="str">
        <f aca="false">IF(A51="","",IFERROR(SUMIF('Daily Dispatch'!$A:$A,A51,'Daily Dispatch'!C:C),0))</f>
        <v/>
      </c>
      <c r="D51" s="45" t="str">
        <f aca="false">IF(A51="","",IFERROR(SUMIF('Daily Dispatch'!$A:$A,A51,'Daily Dispatch'!D:D),0))</f>
        <v/>
      </c>
      <c r="E51" s="45" t="str">
        <f aca="false">IF(A51="","",IFERROR(SUMIF('Daily Dispatch'!$A:$A,A51,'Daily Dispatch'!E:E),0))</f>
        <v/>
      </c>
      <c r="F51" s="45" t="str">
        <f aca="false">IF(A51="","",IFERROR(SUMIF('Daily Dispatch'!$A:$A,A51,'Daily Dispatch'!F:F),0))</f>
        <v/>
      </c>
      <c r="G51" s="45" t="str">
        <f aca="false">IF(A51="","",IFERROR(SUMIF('Daily Dispatch'!$A:$A,A51,'Daily Dispatch'!G:G),0))</f>
        <v/>
      </c>
      <c r="H51" s="45" t="str">
        <f aca="false">IF(A51="","",IFERROR(SUMIF('Daily Dispatch'!$A:$A,A51,'Daily Dispatch'!H:H),0))</f>
        <v/>
      </c>
      <c r="I51" s="45" t="str">
        <f aca="false">IF(A51="","",IFERROR(SUMIF('Daily Dispatch'!$A:$A,A51,'Daily Dispatch'!I:I),0))</f>
        <v/>
      </c>
      <c r="J51" s="45" t="str">
        <f aca="false">IF(A51="","",IFERROR(SUMIF('Daily Dispatch'!$A:$A,A51,'Daily Dispatch'!J:J),0))</f>
        <v/>
      </c>
      <c r="K51" s="45" t="str">
        <f aca="false">IF(A51="","",IFERROR(SUMIF('Daily Dispatch'!$A:$A,A51,'Daily Dispatch'!K:K),0))</f>
        <v/>
      </c>
      <c r="L51" s="45" t="str">
        <f aca="false">IF(A51="","",IFERROR(SUMIF('Daily Dispatch'!$A:$A,A51,'Daily Dispatch'!L:L),0))</f>
        <v/>
      </c>
      <c r="M51" s="45" t="str">
        <f aca="false">IF(A51="","",IFERROR(SUMIF('Daily Dispatch'!$A:$A,A51,'Daily Dispatch'!M:M),0))</f>
        <v/>
      </c>
      <c r="N51" s="46" t="str">
        <f aca="false">IF(A51="","",SUM(B51:M51))</f>
        <v/>
      </c>
    </row>
    <row r="52" customFormat="false" ht="15.75" hidden="false" customHeight="true" outlineLevel="0" collapsed="false">
      <c r="A52" s="41"/>
      <c r="B52" s="42" t="str">
        <f aca="false">IF(A52="","",IFERROR(SUMIF('Daily Dispatch'!$A:$A,A52,'Daily Dispatch'!B:B),0))</f>
        <v/>
      </c>
      <c r="C52" s="42" t="str">
        <f aca="false">IF(A52="","",IFERROR(SUMIF('Daily Dispatch'!$A:$A,A52,'Daily Dispatch'!C:C),0))</f>
        <v/>
      </c>
      <c r="D52" s="42" t="str">
        <f aca="false">IF(A52="","",IFERROR(SUMIF('Daily Dispatch'!$A:$A,A52,'Daily Dispatch'!D:D),0))</f>
        <v/>
      </c>
      <c r="E52" s="42" t="str">
        <f aca="false">IF(A52="","",IFERROR(SUMIF('Daily Dispatch'!$A:$A,A52,'Daily Dispatch'!E:E),0))</f>
        <v/>
      </c>
      <c r="F52" s="42" t="str">
        <f aca="false">IF(A52="","",IFERROR(SUMIF('Daily Dispatch'!$A:$A,A52,'Daily Dispatch'!F:F),0))</f>
        <v/>
      </c>
      <c r="G52" s="42" t="str">
        <f aca="false">IF(A52="","",IFERROR(SUMIF('Daily Dispatch'!$A:$A,A52,'Daily Dispatch'!G:G),0))</f>
        <v/>
      </c>
      <c r="H52" s="42" t="str">
        <f aca="false">IF(A52="","",IFERROR(SUMIF('Daily Dispatch'!$A:$A,A52,'Daily Dispatch'!H:H),0))</f>
        <v/>
      </c>
      <c r="I52" s="42" t="str">
        <f aca="false">IF(A52="","",IFERROR(SUMIF('Daily Dispatch'!$A:$A,A52,'Daily Dispatch'!I:I),0))</f>
        <v/>
      </c>
      <c r="J52" s="42" t="str">
        <f aca="false">IF(A52="","",IFERROR(SUMIF('Daily Dispatch'!$A:$A,A52,'Daily Dispatch'!J:J),0))</f>
        <v/>
      </c>
      <c r="K52" s="42" t="str">
        <f aca="false">IF(A52="","",IFERROR(SUMIF('Daily Dispatch'!$A:$A,A52,'Daily Dispatch'!K:K),0))</f>
        <v/>
      </c>
      <c r="L52" s="42" t="str">
        <f aca="false">IF(A52="","",IFERROR(SUMIF('Daily Dispatch'!$A:$A,A52,'Daily Dispatch'!L:L),0))</f>
        <v/>
      </c>
      <c r="M52" s="42" t="str">
        <f aca="false">IF(A52="","",IFERROR(SUMIF('Daily Dispatch'!$A:$A,A52,'Daily Dispatch'!M:M),0))</f>
        <v/>
      </c>
      <c r="N52" s="43" t="str">
        <f aca="false">IF(A52="","",SUM(B52:M52))</f>
        <v/>
      </c>
    </row>
    <row r="53" customFormat="false" ht="15.75" hidden="false" customHeight="true" outlineLevel="0" collapsed="false">
      <c r="A53" s="44"/>
      <c r="B53" s="45" t="str">
        <f aca="false">IF(A53="","",IFERROR(SUMIF('Daily Dispatch'!$A:$A,A53,'Daily Dispatch'!B:B),0))</f>
        <v/>
      </c>
      <c r="C53" s="45" t="str">
        <f aca="false">IF(A53="","",IFERROR(SUMIF('Daily Dispatch'!$A:$A,A53,'Daily Dispatch'!C:C),0))</f>
        <v/>
      </c>
      <c r="D53" s="45" t="str">
        <f aca="false">IF(A53="","",IFERROR(SUMIF('Daily Dispatch'!$A:$A,A53,'Daily Dispatch'!D:D),0))</f>
        <v/>
      </c>
      <c r="E53" s="45" t="str">
        <f aca="false">IF(A53="","",IFERROR(SUMIF('Daily Dispatch'!$A:$A,A53,'Daily Dispatch'!E:E),0))</f>
        <v/>
      </c>
      <c r="F53" s="45" t="str">
        <f aca="false">IF(A53="","",IFERROR(SUMIF('Daily Dispatch'!$A:$A,A53,'Daily Dispatch'!F:F),0))</f>
        <v/>
      </c>
      <c r="G53" s="45" t="str">
        <f aca="false">IF(A53="","",IFERROR(SUMIF('Daily Dispatch'!$A:$A,A53,'Daily Dispatch'!G:G),0))</f>
        <v/>
      </c>
      <c r="H53" s="45" t="str">
        <f aca="false">IF(A53="","",IFERROR(SUMIF('Daily Dispatch'!$A:$A,A53,'Daily Dispatch'!H:H),0))</f>
        <v/>
      </c>
      <c r="I53" s="45" t="str">
        <f aca="false">IF(A53="","",IFERROR(SUMIF('Daily Dispatch'!$A:$A,A53,'Daily Dispatch'!I:I),0))</f>
        <v/>
      </c>
      <c r="J53" s="45" t="str">
        <f aca="false">IF(A53="","",IFERROR(SUMIF('Daily Dispatch'!$A:$A,A53,'Daily Dispatch'!J:J),0))</f>
        <v/>
      </c>
      <c r="K53" s="45" t="str">
        <f aca="false">IF(A53="","",IFERROR(SUMIF('Daily Dispatch'!$A:$A,A53,'Daily Dispatch'!K:K),0))</f>
        <v/>
      </c>
      <c r="L53" s="45" t="str">
        <f aca="false">IF(A53="","",IFERROR(SUMIF('Daily Dispatch'!$A:$A,A53,'Daily Dispatch'!L:L),0))</f>
        <v/>
      </c>
      <c r="M53" s="45" t="str">
        <f aca="false">IF(A53="","",IFERROR(SUMIF('Daily Dispatch'!$A:$A,A53,'Daily Dispatch'!M:M),0))</f>
        <v/>
      </c>
      <c r="N53" s="46" t="str">
        <f aca="false">IF(A53="","",SUM(B53:M53))</f>
        <v/>
      </c>
    </row>
    <row r="54" customFormat="false" ht="15.75" hidden="false" customHeight="true" outlineLevel="0" collapsed="false">
      <c r="A54" s="41"/>
      <c r="B54" s="42" t="str">
        <f aca="false">IF(A54="","",IFERROR(SUMIF('Daily Dispatch'!$A:$A,A54,'Daily Dispatch'!B:B),0))</f>
        <v/>
      </c>
      <c r="C54" s="42" t="str">
        <f aca="false">IF(A54="","",IFERROR(SUMIF('Daily Dispatch'!$A:$A,A54,'Daily Dispatch'!C:C),0))</f>
        <v/>
      </c>
      <c r="D54" s="42" t="str">
        <f aca="false">IF(A54="","",IFERROR(SUMIF('Daily Dispatch'!$A:$A,A54,'Daily Dispatch'!D:D),0))</f>
        <v/>
      </c>
      <c r="E54" s="42" t="str">
        <f aca="false">IF(A54="","",IFERROR(SUMIF('Daily Dispatch'!$A:$A,A54,'Daily Dispatch'!E:E),0))</f>
        <v/>
      </c>
      <c r="F54" s="42" t="str">
        <f aca="false">IF(A54="","",IFERROR(SUMIF('Daily Dispatch'!$A:$A,A54,'Daily Dispatch'!F:F),0))</f>
        <v/>
      </c>
      <c r="G54" s="42" t="str">
        <f aca="false">IF(A54="","",IFERROR(SUMIF('Daily Dispatch'!$A:$A,A54,'Daily Dispatch'!G:G),0))</f>
        <v/>
      </c>
      <c r="H54" s="42" t="str">
        <f aca="false">IF(A54="","",IFERROR(SUMIF('Daily Dispatch'!$A:$A,A54,'Daily Dispatch'!H:H),0))</f>
        <v/>
      </c>
      <c r="I54" s="42" t="str">
        <f aca="false">IF(A54="","",IFERROR(SUMIF('Daily Dispatch'!$A:$A,A54,'Daily Dispatch'!I:I),0))</f>
        <v/>
      </c>
      <c r="J54" s="42" t="str">
        <f aca="false">IF(A54="","",IFERROR(SUMIF('Daily Dispatch'!$A:$A,A54,'Daily Dispatch'!J:J),0))</f>
        <v/>
      </c>
      <c r="K54" s="42" t="str">
        <f aca="false">IF(A54="","",IFERROR(SUMIF('Daily Dispatch'!$A:$A,A54,'Daily Dispatch'!K:K),0))</f>
        <v/>
      </c>
      <c r="L54" s="42" t="str">
        <f aca="false">IF(A54="","",IFERROR(SUMIF('Daily Dispatch'!$A:$A,A54,'Daily Dispatch'!L:L),0))</f>
        <v/>
      </c>
      <c r="M54" s="42" t="str">
        <f aca="false">IF(A54="","",IFERROR(SUMIF('Daily Dispatch'!$A:$A,A54,'Daily Dispatch'!M:M),0))</f>
        <v/>
      </c>
      <c r="N54" s="43" t="str">
        <f aca="false">IF(A54="","",SUM(B54:M54))</f>
        <v/>
      </c>
    </row>
    <row r="55" customFormat="false" ht="15.75" hidden="false" customHeight="true" outlineLevel="0" collapsed="false">
      <c r="A55" s="44"/>
      <c r="B55" s="45" t="str">
        <f aca="false">IF(A55="","",IFERROR(SUMIF('Daily Dispatch'!$A:$A,A55,'Daily Dispatch'!B:B),0))</f>
        <v/>
      </c>
      <c r="C55" s="45" t="str">
        <f aca="false">IF(A55="","",IFERROR(SUMIF('Daily Dispatch'!$A:$A,A55,'Daily Dispatch'!C:C),0))</f>
        <v/>
      </c>
      <c r="D55" s="45" t="str">
        <f aca="false">IF(A55="","",IFERROR(SUMIF('Daily Dispatch'!$A:$A,A55,'Daily Dispatch'!D:D),0))</f>
        <v/>
      </c>
      <c r="E55" s="45" t="str">
        <f aca="false">IF(A55="","",IFERROR(SUMIF('Daily Dispatch'!$A:$A,A55,'Daily Dispatch'!E:E),0))</f>
        <v/>
      </c>
      <c r="F55" s="45" t="str">
        <f aca="false">IF(A55="","",IFERROR(SUMIF('Daily Dispatch'!$A:$A,A55,'Daily Dispatch'!F:F),0))</f>
        <v/>
      </c>
      <c r="G55" s="45" t="str">
        <f aca="false">IF(A55="","",IFERROR(SUMIF('Daily Dispatch'!$A:$A,A55,'Daily Dispatch'!G:G),0))</f>
        <v/>
      </c>
      <c r="H55" s="45" t="str">
        <f aca="false">IF(A55="","",IFERROR(SUMIF('Daily Dispatch'!$A:$A,A55,'Daily Dispatch'!H:H),0))</f>
        <v/>
      </c>
      <c r="I55" s="45" t="str">
        <f aca="false">IF(A55="","",IFERROR(SUMIF('Daily Dispatch'!$A:$A,A55,'Daily Dispatch'!I:I),0))</f>
        <v/>
      </c>
      <c r="J55" s="45" t="str">
        <f aca="false">IF(A55="","",IFERROR(SUMIF('Daily Dispatch'!$A:$A,A55,'Daily Dispatch'!J:J),0))</f>
        <v/>
      </c>
      <c r="K55" s="45" t="str">
        <f aca="false">IF(A55="","",IFERROR(SUMIF('Daily Dispatch'!$A:$A,A55,'Daily Dispatch'!K:K),0))</f>
        <v/>
      </c>
      <c r="L55" s="45" t="str">
        <f aca="false">IF(A55="","",IFERROR(SUMIF('Daily Dispatch'!$A:$A,A55,'Daily Dispatch'!L:L),0))</f>
        <v/>
      </c>
      <c r="M55" s="45" t="str">
        <f aca="false">IF(A55="","",IFERROR(SUMIF('Daily Dispatch'!$A:$A,A55,'Daily Dispatch'!M:M),0))</f>
        <v/>
      </c>
      <c r="N55" s="46" t="str">
        <f aca="false">IF(A55="","",SUM(B55:M55))</f>
        <v/>
      </c>
    </row>
    <row r="56" customFormat="false" ht="15.75" hidden="false" customHeight="true" outlineLevel="0" collapsed="false">
      <c r="A56" s="41"/>
      <c r="B56" s="42" t="str">
        <f aca="false">IF(A56="","",IFERROR(SUMIF('Daily Dispatch'!$A:$A,A56,'Daily Dispatch'!B:B),0))</f>
        <v/>
      </c>
      <c r="C56" s="42" t="str">
        <f aca="false">IF(A56="","",IFERROR(SUMIF('Daily Dispatch'!$A:$A,A56,'Daily Dispatch'!C:C),0))</f>
        <v/>
      </c>
      <c r="D56" s="42" t="str">
        <f aca="false">IF(A56="","",IFERROR(SUMIF('Daily Dispatch'!$A:$A,A56,'Daily Dispatch'!D:D),0))</f>
        <v/>
      </c>
      <c r="E56" s="42" t="str">
        <f aca="false">IF(A56="","",IFERROR(SUMIF('Daily Dispatch'!$A:$A,A56,'Daily Dispatch'!E:E),0))</f>
        <v/>
      </c>
      <c r="F56" s="42" t="str">
        <f aca="false">IF(A56="","",IFERROR(SUMIF('Daily Dispatch'!$A:$A,A56,'Daily Dispatch'!F:F),0))</f>
        <v/>
      </c>
      <c r="G56" s="42" t="str">
        <f aca="false">IF(A56="","",IFERROR(SUMIF('Daily Dispatch'!$A:$A,A56,'Daily Dispatch'!G:G),0))</f>
        <v/>
      </c>
      <c r="H56" s="42" t="str">
        <f aca="false">IF(A56="","",IFERROR(SUMIF('Daily Dispatch'!$A:$A,A56,'Daily Dispatch'!H:H),0))</f>
        <v/>
      </c>
      <c r="I56" s="42" t="str">
        <f aca="false">IF(A56="","",IFERROR(SUMIF('Daily Dispatch'!$A:$A,A56,'Daily Dispatch'!I:I),0))</f>
        <v/>
      </c>
      <c r="J56" s="42" t="str">
        <f aca="false">IF(A56="","",IFERROR(SUMIF('Daily Dispatch'!$A:$A,A56,'Daily Dispatch'!J:J),0))</f>
        <v/>
      </c>
      <c r="K56" s="42" t="str">
        <f aca="false">IF(A56="","",IFERROR(SUMIF('Daily Dispatch'!$A:$A,A56,'Daily Dispatch'!K:K),0))</f>
        <v/>
      </c>
      <c r="L56" s="42" t="str">
        <f aca="false">IF(A56="","",IFERROR(SUMIF('Daily Dispatch'!$A:$A,A56,'Daily Dispatch'!L:L),0))</f>
        <v/>
      </c>
      <c r="M56" s="42" t="str">
        <f aca="false">IF(A56="","",IFERROR(SUMIF('Daily Dispatch'!$A:$A,A56,'Daily Dispatch'!M:M),0))</f>
        <v/>
      </c>
      <c r="N56" s="43" t="str">
        <f aca="false">IF(A56="","",SUM(B56:M56))</f>
        <v/>
      </c>
    </row>
    <row r="57" customFormat="false" ht="15.75" hidden="false" customHeight="true" outlineLevel="0" collapsed="false">
      <c r="A57" s="44"/>
      <c r="B57" s="45" t="str">
        <f aca="false">IF(A57="","",IFERROR(SUMIF('Daily Dispatch'!$A:$A,A57,'Daily Dispatch'!B:B),0))</f>
        <v/>
      </c>
      <c r="C57" s="45" t="str">
        <f aca="false">IF(A57="","",IFERROR(SUMIF('Daily Dispatch'!$A:$A,A57,'Daily Dispatch'!C:C),0))</f>
        <v/>
      </c>
      <c r="D57" s="45" t="str">
        <f aca="false">IF(A57="","",IFERROR(SUMIF('Daily Dispatch'!$A:$A,A57,'Daily Dispatch'!D:D),0))</f>
        <v/>
      </c>
      <c r="E57" s="45" t="str">
        <f aca="false">IF(A57="","",IFERROR(SUMIF('Daily Dispatch'!$A:$A,A57,'Daily Dispatch'!E:E),0))</f>
        <v/>
      </c>
      <c r="F57" s="45" t="str">
        <f aca="false">IF(A57="","",IFERROR(SUMIF('Daily Dispatch'!$A:$A,A57,'Daily Dispatch'!F:F),0))</f>
        <v/>
      </c>
      <c r="G57" s="45" t="str">
        <f aca="false">IF(A57="","",IFERROR(SUMIF('Daily Dispatch'!$A:$A,A57,'Daily Dispatch'!G:G),0))</f>
        <v/>
      </c>
      <c r="H57" s="45" t="str">
        <f aca="false">IF(A57="","",IFERROR(SUMIF('Daily Dispatch'!$A:$A,A57,'Daily Dispatch'!H:H),0))</f>
        <v/>
      </c>
      <c r="I57" s="45" t="str">
        <f aca="false">IF(A57="","",IFERROR(SUMIF('Daily Dispatch'!$A:$A,A57,'Daily Dispatch'!I:I),0))</f>
        <v/>
      </c>
      <c r="J57" s="45" t="str">
        <f aca="false">IF(A57="","",IFERROR(SUMIF('Daily Dispatch'!$A:$A,A57,'Daily Dispatch'!J:J),0))</f>
        <v/>
      </c>
      <c r="K57" s="45" t="str">
        <f aca="false">IF(A57="","",IFERROR(SUMIF('Daily Dispatch'!$A:$A,A57,'Daily Dispatch'!K:K),0))</f>
        <v/>
      </c>
      <c r="L57" s="45" t="str">
        <f aca="false">IF(A57="","",IFERROR(SUMIF('Daily Dispatch'!$A:$A,A57,'Daily Dispatch'!L:L),0))</f>
        <v/>
      </c>
      <c r="M57" s="45" t="str">
        <f aca="false">IF(A57="","",IFERROR(SUMIF('Daily Dispatch'!$A:$A,A57,'Daily Dispatch'!M:M),0))</f>
        <v/>
      </c>
      <c r="N57" s="46" t="str">
        <f aca="false">IF(A57="","",SUM(B57:M57))</f>
        <v/>
      </c>
    </row>
    <row r="58" customFormat="false" ht="15.75" hidden="false" customHeight="true" outlineLevel="0" collapsed="false">
      <c r="A58" s="41"/>
      <c r="B58" s="42" t="str">
        <f aca="false">IF(A58="","",IFERROR(SUMIF('Daily Dispatch'!$A:$A,A58,'Daily Dispatch'!B:B),0))</f>
        <v/>
      </c>
      <c r="C58" s="42" t="str">
        <f aca="false">IF(A58="","",IFERROR(SUMIF('Daily Dispatch'!$A:$A,A58,'Daily Dispatch'!C:C),0))</f>
        <v/>
      </c>
      <c r="D58" s="42" t="str">
        <f aca="false">IF(A58="","",IFERROR(SUMIF('Daily Dispatch'!$A:$A,A58,'Daily Dispatch'!D:D),0))</f>
        <v/>
      </c>
      <c r="E58" s="42" t="str">
        <f aca="false">IF(A58="","",IFERROR(SUMIF('Daily Dispatch'!$A:$A,A58,'Daily Dispatch'!E:E),0))</f>
        <v/>
      </c>
      <c r="F58" s="42" t="str">
        <f aca="false">IF(A58="","",IFERROR(SUMIF('Daily Dispatch'!$A:$A,A58,'Daily Dispatch'!F:F),0))</f>
        <v/>
      </c>
      <c r="G58" s="42" t="str">
        <f aca="false">IF(A58="","",IFERROR(SUMIF('Daily Dispatch'!$A:$A,A58,'Daily Dispatch'!G:G),0))</f>
        <v/>
      </c>
      <c r="H58" s="42" t="str">
        <f aca="false">IF(A58="","",IFERROR(SUMIF('Daily Dispatch'!$A:$A,A58,'Daily Dispatch'!H:H),0))</f>
        <v/>
      </c>
      <c r="I58" s="42" t="str">
        <f aca="false">IF(A58="","",IFERROR(SUMIF('Daily Dispatch'!$A:$A,A58,'Daily Dispatch'!I:I),0))</f>
        <v/>
      </c>
      <c r="J58" s="42" t="str">
        <f aca="false">IF(A58="","",IFERROR(SUMIF('Daily Dispatch'!$A:$A,A58,'Daily Dispatch'!J:J),0))</f>
        <v/>
      </c>
      <c r="K58" s="42" t="str">
        <f aca="false">IF(A58="","",IFERROR(SUMIF('Daily Dispatch'!$A:$A,A58,'Daily Dispatch'!K:K),0))</f>
        <v/>
      </c>
      <c r="L58" s="42" t="str">
        <f aca="false">IF(A58="","",IFERROR(SUMIF('Daily Dispatch'!$A:$A,A58,'Daily Dispatch'!L:L),0))</f>
        <v/>
      </c>
      <c r="M58" s="42" t="str">
        <f aca="false">IF(A58="","",IFERROR(SUMIF('Daily Dispatch'!$A:$A,A58,'Daily Dispatch'!M:M),0))</f>
        <v/>
      </c>
      <c r="N58" s="43" t="str">
        <f aca="false">IF(A58="","",SUM(B58:M58))</f>
        <v/>
      </c>
    </row>
    <row r="59" customFormat="false" ht="15.75" hidden="false" customHeight="true" outlineLevel="0" collapsed="false">
      <c r="A59" s="44"/>
      <c r="B59" s="45" t="str">
        <f aca="false">IF(A59="","",IFERROR(SUMIF('Daily Dispatch'!$A:$A,A59,'Daily Dispatch'!B:B),0))</f>
        <v/>
      </c>
      <c r="C59" s="45" t="str">
        <f aca="false">IF(A59="","",IFERROR(SUMIF('Daily Dispatch'!$A:$A,A59,'Daily Dispatch'!C:C),0))</f>
        <v/>
      </c>
      <c r="D59" s="45" t="str">
        <f aca="false">IF(A59="","",IFERROR(SUMIF('Daily Dispatch'!$A:$A,A59,'Daily Dispatch'!D:D),0))</f>
        <v/>
      </c>
      <c r="E59" s="45" t="str">
        <f aca="false">IF(A59="","",IFERROR(SUMIF('Daily Dispatch'!$A:$A,A59,'Daily Dispatch'!E:E),0))</f>
        <v/>
      </c>
      <c r="F59" s="45" t="str">
        <f aca="false">IF(A59="","",IFERROR(SUMIF('Daily Dispatch'!$A:$A,A59,'Daily Dispatch'!F:F),0))</f>
        <v/>
      </c>
      <c r="G59" s="45" t="str">
        <f aca="false">IF(A59="","",IFERROR(SUMIF('Daily Dispatch'!$A:$A,A59,'Daily Dispatch'!G:G),0))</f>
        <v/>
      </c>
      <c r="H59" s="45" t="str">
        <f aca="false">IF(A59="","",IFERROR(SUMIF('Daily Dispatch'!$A:$A,A59,'Daily Dispatch'!H:H),0))</f>
        <v/>
      </c>
      <c r="I59" s="45" t="str">
        <f aca="false">IF(A59="","",IFERROR(SUMIF('Daily Dispatch'!$A:$A,A59,'Daily Dispatch'!I:I),0))</f>
        <v/>
      </c>
      <c r="J59" s="45" t="str">
        <f aca="false">IF(A59="","",IFERROR(SUMIF('Daily Dispatch'!$A:$A,A59,'Daily Dispatch'!J:J),0))</f>
        <v/>
      </c>
      <c r="K59" s="45" t="str">
        <f aca="false">IF(A59="","",IFERROR(SUMIF('Daily Dispatch'!$A:$A,A59,'Daily Dispatch'!K:K),0))</f>
        <v/>
      </c>
      <c r="L59" s="45" t="str">
        <f aca="false">IF(A59="","",IFERROR(SUMIF('Daily Dispatch'!$A:$A,A59,'Daily Dispatch'!L:L),0))</f>
        <v/>
      </c>
      <c r="M59" s="45" t="str">
        <f aca="false">IF(A59="","",IFERROR(SUMIF('Daily Dispatch'!$A:$A,A59,'Daily Dispatch'!M:M),0))</f>
        <v/>
      </c>
      <c r="N59" s="46" t="str">
        <f aca="false">IF(A59="","",SUM(B59:M59))</f>
        <v/>
      </c>
    </row>
    <row r="60" customFormat="false" ht="15.75" hidden="false" customHeight="true" outlineLevel="0" collapsed="false">
      <c r="A60" s="41"/>
      <c r="B60" s="42" t="str">
        <f aca="false">IF(A60="","",IFERROR(SUMIF('Daily Dispatch'!$A:$A,A60,'Daily Dispatch'!B:B),0))</f>
        <v/>
      </c>
      <c r="C60" s="42" t="str">
        <f aca="false">IF(A60="","",IFERROR(SUMIF('Daily Dispatch'!$A:$A,A60,'Daily Dispatch'!C:C),0))</f>
        <v/>
      </c>
      <c r="D60" s="42" t="str">
        <f aca="false">IF(A60="","",IFERROR(SUMIF('Daily Dispatch'!$A:$A,A60,'Daily Dispatch'!D:D),0))</f>
        <v/>
      </c>
      <c r="E60" s="42" t="str">
        <f aca="false">IF(A60="","",IFERROR(SUMIF('Daily Dispatch'!$A:$A,A60,'Daily Dispatch'!E:E),0))</f>
        <v/>
      </c>
      <c r="F60" s="42" t="str">
        <f aca="false">IF(A60="","",IFERROR(SUMIF('Daily Dispatch'!$A:$A,A60,'Daily Dispatch'!F:F),0))</f>
        <v/>
      </c>
      <c r="G60" s="42" t="str">
        <f aca="false">IF(A60="","",IFERROR(SUMIF('Daily Dispatch'!$A:$A,A60,'Daily Dispatch'!G:G),0))</f>
        <v/>
      </c>
      <c r="H60" s="42" t="str">
        <f aca="false">IF(A60="","",IFERROR(SUMIF('Daily Dispatch'!$A:$A,A60,'Daily Dispatch'!H:H),0))</f>
        <v/>
      </c>
      <c r="I60" s="42" t="str">
        <f aca="false">IF(A60="","",IFERROR(SUMIF('Daily Dispatch'!$A:$A,A60,'Daily Dispatch'!I:I),0))</f>
        <v/>
      </c>
      <c r="J60" s="42" t="str">
        <f aca="false">IF(A60="","",IFERROR(SUMIF('Daily Dispatch'!$A:$A,A60,'Daily Dispatch'!J:J),0))</f>
        <v/>
      </c>
      <c r="K60" s="42" t="str">
        <f aca="false">IF(A60="","",IFERROR(SUMIF('Daily Dispatch'!$A:$A,A60,'Daily Dispatch'!K:K),0))</f>
        <v/>
      </c>
      <c r="L60" s="42" t="str">
        <f aca="false">IF(A60="","",IFERROR(SUMIF('Daily Dispatch'!$A:$A,A60,'Daily Dispatch'!L:L),0))</f>
        <v/>
      </c>
      <c r="M60" s="42" t="str">
        <f aca="false">IF(A60="","",IFERROR(SUMIF('Daily Dispatch'!$A:$A,A60,'Daily Dispatch'!M:M),0))</f>
        <v/>
      </c>
      <c r="N60" s="43" t="str">
        <f aca="false">IF(A60="","",SUM(B60:M60))</f>
        <v/>
      </c>
    </row>
    <row r="61" customFormat="false" ht="15.75" hidden="false" customHeight="true" outlineLevel="0" collapsed="false">
      <c r="A61" s="44"/>
      <c r="B61" s="45" t="str">
        <f aca="false">IF(A61="","",IFERROR(SUMIF('Daily Dispatch'!$A:$A,A61,'Daily Dispatch'!B:B),0))</f>
        <v/>
      </c>
      <c r="C61" s="45" t="str">
        <f aca="false">IF(A61="","",IFERROR(SUMIF('Daily Dispatch'!$A:$A,A61,'Daily Dispatch'!C:C),0))</f>
        <v/>
      </c>
      <c r="D61" s="45" t="str">
        <f aca="false">IF(A61="","",IFERROR(SUMIF('Daily Dispatch'!$A:$A,A61,'Daily Dispatch'!D:D),0))</f>
        <v/>
      </c>
      <c r="E61" s="45" t="str">
        <f aca="false">IF(A61="","",IFERROR(SUMIF('Daily Dispatch'!$A:$A,A61,'Daily Dispatch'!E:E),0))</f>
        <v/>
      </c>
      <c r="F61" s="45" t="str">
        <f aca="false">IF(A61="","",IFERROR(SUMIF('Daily Dispatch'!$A:$A,A61,'Daily Dispatch'!F:F),0))</f>
        <v/>
      </c>
      <c r="G61" s="45" t="str">
        <f aca="false">IF(A61="","",IFERROR(SUMIF('Daily Dispatch'!$A:$A,A61,'Daily Dispatch'!G:G),0))</f>
        <v/>
      </c>
      <c r="H61" s="45" t="str">
        <f aca="false">IF(A61="","",IFERROR(SUMIF('Daily Dispatch'!$A:$A,A61,'Daily Dispatch'!H:H),0))</f>
        <v/>
      </c>
      <c r="I61" s="45" t="str">
        <f aca="false">IF(A61="","",IFERROR(SUMIF('Daily Dispatch'!$A:$A,A61,'Daily Dispatch'!I:I),0))</f>
        <v/>
      </c>
      <c r="J61" s="45" t="str">
        <f aca="false">IF(A61="","",IFERROR(SUMIF('Daily Dispatch'!$A:$A,A61,'Daily Dispatch'!J:J),0))</f>
        <v/>
      </c>
      <c r="K61" s="45" t="str">
        <f aca="false">IF(A61="","",IFERROR(SUMIF('Daily Dispatch'!$A:$A,A61,'Daily Dispatch'!K:K),0))</f>
        <v/>
      </c>
      <c r="L61" s="45" t="str">
        <f aca="false">IF(A61="","",IFERROR(SUMIF('Daily Dispatch'!$A:$A,A61,'Daily Dispatch'!L:L),0))</f>
        <v/>
      </c>
      <c r="M61" s="45" t="str">
        <f aca="false">IF(A61="","",IFERROR(SUMIF('Daily Dispatch'!$A:$A,A61,'Daily Dispatch'!M:M),0))</f>
        <v/>
      </c>
      <c r="N61" s="46" t="str">
        <f aca="false">IF(A61="","",SUM(B61:M61))</f>
        <v/>
      </c>
    </row>
    <row r="62" customFormat="false" ht="15.75" hidden="false" customHeight="true" outlineLevel="0" collapsed="false">
      <c r="A62" s="41"/>
      <c r="B62" s="42" t="str">
        <f aca="false">IF(A62="","",IFERROR(SUMIF('Daily Dispatch'!$A:$A,A62,'Daily Dispatch'!B:B),0))</f>
        <v/>
      </c>
      <c r="C62" s="42" t="str">
        <f aca="false">IF(A62="","",IFERROR(SUMIF('Daily Dispatch'!$A:$A,A62,'Daily Dispatch'!C:C),0))</f>
        <v/>
      </c>
      <c r="D62" s="42" t="str">
        <f aca="false">IF(A62="","",IFERROR(SUMIF('Daily Dispatch'!$A:$A,A62,'Daily Dispatch'!D:D),0))</f>
        <v/>
      </c>
      <c r="E62" s="42" t="str">
        <f aca="false">IF(A62="","",IFERROR(SUMIF('Daily Dispatch'!$A:$A,A62,'Daily Dispatch'!E:E),0))</f>
        <v/>
      </c>
      <c r="F62" s="42" t="str">
        <f aca="false">IF(A62="","",IFERROR(SUMIF('Daily Dispatch'!$A:$A,A62,'Daily Dispatch'!F:F),0))</f>
        <v/>
      </c>
      <c r="G62" s="42" t="str">
        <f aca="false">IF(A62="","",IFERROR(SUMIF('Daily Dispatch'!$A:$A,A62,'Daily Dispatch'!G:G),0))</f>
        <v/>
      </c>
      <c r="H62" s="42" t="str">
        <f aca="false">IF(A62="","",IFERROR(SUMIF('Daily Dispatch'!$A:$A,A62,'Daily Dispatch'!H:H),0))</f>
        <v/>
      </c>
      <c r="I62" s="42" t="str">
        <f aca="false">IF(A62="","",IFERROR(SUMIF('Daily Dispatch'!$A:$A,A62,'Daily Dispatch'!I:I),0))</f>
        <v/>
      </c>
      <c r="J62" s="42" t="str">
        <f aca="false">IF(A62="","",IFERROR(SUMIF('Daily Dispatch'!$A:$A,A62,'Daily Dispatch'!J:J),0))</f>
        <v/>
      </c>
      <c r="K62" s="42" t="str">
        <f aca="false">IF(A62="","",IFERROR(SUMIF('Daily Dispatch'!$A:$A,A62,'Daily Dispatch'!K:K),0))</f>
        <v/>
      </c>
      <c r="L62" s="42" t="str">
        <f aca="false">IF(A62="","",IFERROR(SUMIF('Daily Dispatch'!$A:$A,A62,'Daily Dispatch'!L:L),0))</f>
        <v/>
      </c>
      <c r="M62" s="42" t="str">
        <f aca="false">IF(A62="","",IFERROR(SUMIF('Daily Dispatch'!$A:$A,A62,'Daily Dispatch'!M:M),0))</f>
        <v/>
      </c>
      <c r="N62" s="43" t="str">
        <f aca="false">IF(A62="","",SUM(B62:M62))</f>
        <v/>
      </c>
    </row>
    <row r="63" customFormat="false" ht="15.75" hidden="false" customHeight="true" outlineLevel="0" collapsed="false">
      <c r="A63" s="44"/>
      <c r="B63" s="45" t="str">
        <f aca="false">IF(A63="","",IFERROR(SUMIF('Daily Dispatch'!$A:$A,A63,'Daily Dispatch'!B:B),0))</f>
        <v/>
      </c>
      <c r="C63" s="45" t="str">
        <f aca="false">IF(A63="","",IFERROR(SUMIF('Daily Dispatch'!$A:$A,A63,'Daily Dispatch'!C:C),0))</f>
        <v/>
      </c>
      <c r="D63" s="45" t="str">
        <f aca="false">IF(A63="","",IFERROR(SUMIF('Daily Dispatch'!$A:$A,A63,'Daily Dispatch'!D:D),0))</f>
        <v/>
      </c>
      <c r="E63" s="45" t="str">
        <f aca="false">IF(A63="","",IFERROR(SUMIF('Daily Dispatch'!$A:$A,A63,'Daily Dispatch'!E:E),0))</f>
        <v/>
      </c>
      <c r="F63" s="45" t="str">
        <f aca="false">IF(A63="","",IFERROR(SUMIF('Daily Dispatch'!$A:$A,A63,'Daily Dispatch'!F:F),0))</f>
        <v/>
      </c>
      <c r="G63" s="45" t="str">
        <f aca="false">IF(A63="","",IFERROR(SUMIF('Daily Dispatch'!$A:$A,A63,'Daily Dispatch'!G:G),0))</f>
        <v/>
      </c>
      <c r="H63" s="45" t="str">
        <f aca="false">IF(A63="","",IFERROR(SUMIF('Daily Dispatch'!$A:$A,A63,'Daily Dispatch'!H:H),0))</f>
        <v/>
      </c>
      <c r="I63" s="45" t="str">
        <f aca="false">IF(A63="","",IFERROR(SUMIF('Daily Dispatch'!$A:$A,A63,'Daily Dispatch'!I:I),0))</f>
        <v/>
      </c>
      <c r="J63" s="45" t="str">
        <f aca="false">IF(A63="","",IFERROR(SUMIF('Daily Dispatch'!$A:$A,A63,'Daily Dispatch'!J:J),0))</f>
        <v/>
      </c>
      <c r="K63" s="45" t="str">
        <f aca="false">IF(A63="","",IFERROR(SUMIF('Daily Dispatch'!$A:$A,A63,'Daily Dispatch'!K:K),0))</f>
        <v/>
      </c>
      <c r="L63" s="45" t="str">
        <f aca="false">IF(A63="","",IFERROR(SUMIF('Daily Dispatch'!$A:$A,A63,'Daily Dispatch'!L:L),0))</f>
        <v/>
      </c>
      <c r="M63" s="45" t="str">
        <f aca="false">IF(A63="","",IFERROR(SUMIF('Daily Dispatch'!$A:$A,A63,'Daily Dispatch'!M:M),0))</f>
        <v/>
      </c>
      <c r="N63" s="46" t="str">
        <f aca="false">IF(A63="","",SUM(B63:M63))</f>
        <v/>
      </c>
    </row>
    <row r="64" customFormat="false" ht="15.75" hidden="false" customHeight="true" outlineLevel="0" collapsed="false">
      <c r="A64" s="41"/>
      <c r="B64" s="42" t="str">
        <f aca="false">IF(A64="","",IFERROR(SUMIF('Daily Dispatch'!$A:$A,A64,'Daily Dispatch'!B:B),0))</f>
        <v/>
      </c>
      <c r="C64" s="42" t="str">
        <f aca="false">IF(A64="","",IFERROR(SUMIF('Daily Dispatch'!$A:$A,A64,'Daily Dispatch'!C:C),0))</f>
        <v/>
      </c>
      <c r="D64" s="42" t="str">
        <f aca="false">IF(A64="","",IFERROR(SUMIF('Daily Dispatch'!$A:$A,A64,'Daily Dispatch'!D:D),0))</f>
        <v/>
      </c>
      <c r="E64" s="42" t="str">
        <f aca="false">IF(A64="","",IFERROR(SUMIF('Daily Dispatch'!$A:$A,A64,'Daily Dispatch'!E:E),0))</f>
        <v/>
      </c>
      <c r="F64" s="42" t="str">
        <f aca="false">IF(A64="","",IFERROR(SUMIF('Daily Dispatch'!$A:$A,A64,'Daily Dispatch'!F:F),0))</f>
        <v/>
      </c>
      <c r="G64" s="42" t="str">
        <f aca="false">IF(A64="","",IFERROR(SUMIF('Daily Dispatch'!$A:$A,A64,'Daily Dispatch'!G:G),0))</f>
        <v/>
      </c>
      <c r="H64" s="42" t="str">
        <f aca="false">IF(A64="","",IFERROR(SUMIF('Daily Dispatch'!$A:$A,A64,'Daily Dispatch'!H:H),0))</f>
        <v/>
      </c>
      <c r="I64" s="42" t="str">
        <f aca="false">IF(A64="","",IFERROR(SUMIF('Daily Dispatch'!$A:$A,A64,'Daily Dispatch'!I:I),0))</f>
        <v/>
      </c>
      <c r="J64" s="42" t="str">
        <f aca="false">IF(A64="","",IFERROR(SUMIF('Daily Dispatch'!$A:$A,A64,'Daily Dispatch'!J:J),0))</f>
        <v/>
      </c>
      <c r="K64" s="42" t="str">
        <f aca="false">IF(A64="","",IFERROR(SUMIF('Daily Dispatch'!$A:$A,A64,'Daily Dispatch'!K:K),0))</f>
        <v/>
      </c>
      <c r="L64" s="42" t="str">
        <f aca="false">IF(A64="","",IFERROR(SUMIF('Daily Dispatch'!$A:$A,A64,'Daily Dispatch'!L:L),0))</f>
        <v/>
      </c>
      <c r="M64" s="42" t="str">
        <f aca="false">IF(A64="","",IFERROR(SUMIF('Daily Dispatch'!$A:$A,A64,'Daily Dispatch'!M:M),0))</f>
        <v/>
      </c>
      <c r="N64" s="43" t="str">
        <f aca="false">IF(A64="","",SUM(B64:M64))</f>
        <v/>
      </c>
    </row>
    <row r="65" customFormat="false" ht="15.75" hidden="false" customHeight="true" outlineLevel="0" collapsed="false">
      <c r="A65" s="44"/>
      <c r="B65" s="45" t="str">
        <f aca="false">IF(A65="","",IFERROR(SUMIF('Daily Dispatch'!$A:$A,A65,'Daily Dispatch'!B:B),0))</f>
        <v/>
      </c>
      <c r="C65" s="45" t="str">
        <f aca="false">IF(A65="","",IFERROR(SUMIF('Daily Dispatch'!$A:$A,A65,'Daily Dispatch'!C:C),0))</f>
        <v/>
      </c>
      <c r="D65" s="45" t="str">
        <f aca="false">IF(A65="","",IFERROR(SUMIF('Daily Dispatch'!$A:$A,A65,'Daily Dispatch'!D:D),0))</f>
        <v/>
      </c>
      <c r="E65" s="45" t="str">
        <f aca="false">IF(A65="","",IFERROR(SUMIF('Daily Dispatch'!$A:$A,A65,'Daily Dispatch'!E:E),0))</f>
        <v/>
      </c>
      <c r="F65" s="45" t="str">
        <f aca="false">IF(A65="","",IFERROR(SUMIF('Daily Dispatch'!$A:$A,A65,'Daily Dispatch'!F:F),0))</f>
        <v/>
      </c>
      <c r="G65" s="45" t="str">
        <f aca="false">IF(A65="","",IFERROR(SUMIF('Daily Dispatch'!$A:$A,A65,'Daily Dispatch'!G:G),0))</f>
        <v/>
      </c>
      <c r="H65" s="45" t="str">
        <f aca="false">IF(A65="","",IFERROR(SUMIF('Daily Dispatch'!$A:$A,A65,'Daily Dispatch'!H:H),0))</f>
        <v/>
      </c>
      <c r="I65" s="45" t="str">
        <f aca="false">IF(A65="","",IFERROR(SUMIF('Daily Dispatch'!$A:$A,A65,'Daily Dispatch'!I:I),0))</f>
        <v/>
      </c>
      <c r="J65" s="45" t="str">
        <f aca="false">IF(A65="","",IFERROR(SUMIF('Daily Dispatch'!$A:$A,A65,'Daily Dispatch'!J:J),0))</f>
        <v/>
      </c>
      <c r="K65" s="45" t="str">
        <f aca="false">IF(A65="","",IFERROR(SUMIF('Daily Dispatch'!$A:$A,A65,'Daily Dispatch'!K:K),0))</f>
        <v/>
      </c>
      <c r="L65" s="45" t="str">
        <f aca="false">IF(A65="","",IFERROR(SUMIF('Daily Dispatch'!$A:$A,A65,'Daily Dispatch'!L:L),0))</f>
        <v/>
      </c>
      <c r="M65" s="45" t="str">
        <f aca="false">IF(A65="","",IFERROR(SUMIF('Daily Dispatch'!$A:$A,A65,'Daily Dispatch'!M:M),0))</f>
        <v/>
      </c>
      <c r="N65" s="46" t="str">
        <f aca="false">IF(A65="","",SUM(B65:M65))</f>
        <v/>
      </c>
    </row>
    <row r="66" customFormat="false" ht="15.75" hidden="false" customHeight="true" outlineLevel="0" collapsed="false">
      <c r="A66" s="41"/>
      <c r="B66" s="42" t="str">
        <f aca="false">IF(A66="","",IFERROR(SUMIF('Daily Dispatch'!$A:$A,A66,'Daily Dispatch'!B:B),0))</f>
        <v/>
      </c>
      <c r="C66" s="42" t="str">
        <f aca="false">IF(A66="","",IFERROR(SUMIF('Daily Dispatch'!$A:$A,A66,'Daily Dispatch'!C:C),0))</f>
        <v/>
      </c>
      <c r="D66" s="42" t="str">
        <f aca="false">IF(A66="","",IFERROR(SUMIF('Daily Dispatch'!$A:$A,A66,'Daily Dispatch'!D:D),0))</f>
        <v/>
      </c>
      <c r="E66" s="42" t="str">
        <f aca="false">IF(A66="","",IFERROR(SUMIF('Daily Dispatch'!$A:$A,A66,'Daily Dispatch'!E:E),0))</f>
        <v/>
      </c>
      <c r="F66" s="42" t="str">
        <f aca="false">IF(A66="","",IFERROR(SUMIF('Daily Dispatch'!$A:$A,A66,'Daily Dispatch'!F:F),0))</f>
        <v/>
      </c>
      <c r="G66" s="42" t="str">
        <f aca="false">IF(A66="","",IFERROR(SUMIF('Daily Dispatch'!$A:$A,A66,'Daily Dispatch'!G:G),0))</f>
        <v/>
      </c>
      <c r="H66" s="42" t="str">
        <f aca="false">IF(A66="","",IFERROR(SUMIF('Daily Dispatch'!$A:$A,A66,'Daily Dispatch'!H:H),0))</f>
        <v/>
      </c>
      <c r="I66" s="42" t="str">
        <f aca="false">IF(A66="","",IFERROR(SUMIF('Daily Dispatch'!$A:$A,A66,'Daily Dispatch'!I:I),0))</f>
        <v/>
      </c>
      <c r="J66" s="42" t="str">
        <f aca="false">IF(A66="","",IFERROR(SUMIF('Daily Dispatch'!$A:$A,A66,'Daily Dispatch'!J:J),0))</f>
        <v/>
      </c>
      <c r="K66" s="42" t="str">
        <f aca="false">IF(A66="","",IFERROR(SUMIF('Daily Dispatch'!$A:$A,A66,'Daily Dispatch'!K:K),0))</f>
        <v/>
      </c>
      <c r="L66" s="42" t="str">
        <f aca="false">IF(A66="","",IFERROR(SUMIF('Daily Dispatch'!$A:$A,A66,'Daily Dispatch'!L:L),0))</f>
        <v/>
      </c>
      <c r="M66" s="42" t="str">
        <f aca="false">IF(A66="","",IFERROR(SUMIF('Daily Dispatch'!$A:$A,A66,'Daily Dispatch'!M:M),0))</f>
        <v/>
      </c>
      <c r="N66" s="43" t="str">
        <f aca="false">IF(A66="","",SUM(B66:M66))</f>
        <v/>
      </c>
    </row>
    <row r="67" customFormat="false" ht="15.75" hidden="false" customHeight="true" outlineLevel="0" collapsed="false">
      <c r="A67" s="44"/>
      <c r="B67" s="45" t="str">
        <f aca="false">IF(A67="","",IFERROR(SUMIF('Daily Dispatch'!$A:$A,A67,'Daily Dispatch'!B:B),0))</f>
        <v/>
      </c>
      <c r="C67" s="45" t="str">
        <f aca="false">IF(A67="","",IFERROR(SUMIF('Daily Dispatch'!$A:$A,A67,'Daily Dispatch'!C:C),0))</f>
        <v/>
      </c>
      <c r="D67" s="45" t="str">
        <f aca="false">IF(A67="","",IFERROR(SUMIF('Daily Dispatch'!$A:$A,A67,'Daily Dispatch'!D:D),0))</f>
        <v/>
      </c>
      <c r="E67" s="45" t="str">
        <f aca="false">IF(A67="","",IFERROR(SUMIF('Daily Dispatch'!$A:$A,A67,'Daily Dispatch'!E:E),0))</f>
        <v/>
      </c>
      <c r="F67" s="45" t="str">
        <f aca="false">IF(A67="","",IFERROR(SUMIF('Daily Dispatch'!$A:$A,A67,'Daily Dispatch'!F:F),0))</f>
        <v/>
      </c>
      <c r="G67" s="45" t="str">
        <f aca="false">IF(A67="","",IFERROR(SUMIF('Daily Dispatch'!$A:$A,A67,'Daily Dispatch'!G:G),0))</f>
        <v/>
      </c>
      <c r="H67" s="45" t="str">
        <f aca="false">IF(A67="","",IFERROR(SUMIF('Daily Dispatch'!$A:$A,A67,'Daily Dispatch'!H:H),0))</f>
        <v/>
      </c>
      <c r="I67" s="45" t="str">
        <f aca="false">IF(A67="","",IFERROR(SUMIF('Daily Dispatch'!$A:$A,A67,'Daily Dispatch'!I:I),0))</f>
        <v/>
      </c>
      <c r="J67" s="45" t="str">
        <f aca="false">IF(A67="","",IFERROR(SUMIF('Daily Dispatch'!$A:$A,A67,'Daily Dispatch'!J:J),0))</f>
        <v/>
      </c>
      <c r="K67" s="45" t="str">
        <f aca="false">IF(A67="","",IFERROR(SUMIF('Daily Dispatch'!$A:$A,A67,'Daily Dispatch'!K:K),0))</f>
        <v/>
      </c>
      <c r="L67" s="45" t="str">
        <f aca="false">IF(A67="","",IFERROR(SUMIF('Daily Dispatch'!$A:$A,A67,'Daily Dispatch'!L:L),0))</f>
        <v/>
      </c>
      <c r="M67" s="45" t="str">
        <f aca="false">IF(A67="","",IFERROR(SUMIF('Daily Dispatch'!$A:$A,A67,'Daily Dispatch'!M:M),0))</f>
        <v/>
      </c>
      <c r="N67" s="46" t="str">
        <f aca="false">IF(A67="","",SUM(B67:M67))</f>
        <v/>
      </c>
    </row>
    <row r="68" customFormat="false" ht="13.8" hidden="false" customHeight="false" outlineLevel="0" collapsed="false"/>
    <row r="69" customFormat="false" ht="7.5" hidden="false" customHeight="true" outlineLevel="0" collapsed="false"/>
    <row r="70" customFormat="false" ht="21.75" hidden="false" customHeight="true" outlineLevel="0" collapsed="false">
      <c r="A70" s="47" t="s">
        <v>63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</row>
    <row r="71" customFormat="false" ht="15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3" t="str">
        <f aca="false">IF(A71="","",SUM(B71:M71))</f>
        <v/>
      </c>
    </row>
    <row r="72" customFormat="false" ht="15.75" hidden="false" customHeight="true" outlineLevel="0" collapsed="false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6" t="str">
        <f aca="false">IF(A72="","",SUM(B72:M72))</f>
        <v/>
      </c>
    </row>
    <row r="73" customFormat="false" ht="15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3" t="str">
        <f aca="false">IF(A73="","",SUM(B73:M73))</f>
        <v/>
      </c>
    </row>
    <row r="74" customFormat="false" ht="15.75" hidden="false" customHeight="true" outlineLevel="0" collapsed="false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6" t="str">
        <f aca="false">IF(A74="","",SUM(B74:M74))</f>
        <v/>
      </c>
    </row>
    <row r="75" customFormat="false" ht="15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3" t="str">
        <f aca="false">IF(A75="","",SUM(B75:M75))</f>
        <v/>
      </c>
    </row>
    <row r="76" customFormat="false" ht="15.75" hidden="false" customHeight="true" outlineLevel="0" collapsed="false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6" t="str">
        <f aca="false">IF(A76="","",SUM(B76:M76))</f>
        <v/>
      </c>
    </row>
    <row r="77" customFormat="false" ht="15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3" t="str">
        <f aca="false">IF(A77="","",SUM(B77:M77))</f>
        <v/>
      </c>
    </row>
    <row r="78" customFormat="false" ht="15.75" hidden="false" customHeight="true" outlineLevel="0" collapsed="false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6" t="str">
        <f aca="false">IF(A78="","",SUM(B78:M78))</f>
        <v/>
      </c>
    </row>
    <row r="79" customFormat="false" ht="15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3" t="str">
        <f aca="false">IF(A79="","",SUM(B79:M79))</f>
        <v/>
      </c>
    </row>
    <row r="80" customFormat="false" ht="15.75" hidden="false" customHeight="true" outlineLevel="0" collapsed="false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6" t="str">
        <f aca="false">IF(A80="","",SUM(B80:M80))</f>
        <v/>
      </c>
    </row>
    <row r="81" customFormat="false" ht="15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3" t="str">
        <f aca="false">IF(A81="","",SUM(B81:M81))</f>
        <v/>
      </c>
    </row>
    <row r="82" customFormat="false" ht="15.75" hidden="false" customHeight="true" outlineLevel="0" collapsed="false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6" t="str">
        <f aca="false">IF(A82="","",SUM(B82:M82))</f>
        <v/>
      </c>
    </row>
    <row r="83" customFormat="false" ht="15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3" t="str">
        <f aca="false">IF(A83="","",SUM(B83:M83))</f>
        <v/>
      </c>
    </row>
    <row r="84" customFormat="false" ht="15.75" hidden="false" customHeight="true" outlineLevel="0" collapsed="false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6" t="str">
        <f aca="false">IF(A84="","",SUM(B84:M84))</f>
        <v/>
      </c>
    </row>
    <row r="85" customFormat="false" ht="15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3" t="str">
        <f aca="false">IF(A85="","",SUM(B85:M85))</f>
        <v/>
      </c>
    </row>
    <row r="86" customFormat="false" ht="15.75" hidden="false" customHeight="true" outlineLevel="0" collapsed="false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6" t="str">
        <f aca="false">IF(A86="","",SUM(B86:M86))</f>
        <v/>
      </c>
    </row>
    <row r="87" customFormat="false" ht="15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3" t="str">
        <f aca="false">IF(A87="","",SUM(B87:M87))</f>
        <v/>
      </c>
    </row>
    <row r="88" customFormat="false" ht="15.75" hidden="false" customHeight="true" outlineLevel="0" collapsed="false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6" t="str">
        <f aca="false">IF(A88="","",SUM(B88:M88))</f>
        <v/>
      </c>
    </row>
    <row r="89" customFormat="false" ht="15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3" t="str">
        <f aca="false">IF(A89="","",SUM(B89:M89))</f>
        <v/>
      </c>
    </row>
    <row r="90" customFormat="false" ht="15.75" hidden="false" customHeight="true" outlineLevel="0" collapsed="false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6" t="str">
        <f aca="false">IF(A90="","",SUM(B90:M90))</f>
        <v/>
      </c>
    </row>
    <row r="91" customFormat="false" ht="15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3" t="str">
        <f aca="false">IF(A91="","",SUM(B91:M91))</f>
        <v/>
      </c>
    </row>
    <row r="92" customFormat="false" ht="15.75" hidden="false" customHeight="true" outlineLevel="0" collapsed="false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6" t="str">
        <f aca="false">IF(A92="","",SUM(B92:M92))</f>
        <v/>
      </c>
    </row>
    <row r="93" customFormat="false" ht="15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3" t="str">
        <f aca="false">IF(A93="","",SUM(B93:M93))</f>
        <v/>
      </c>
    </row>
    <row r="94" customFormat="false" ht="15.75" hidden="false" customHeight="true" outlineLevel="0" collapsed="false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6" t="str">
        <f aca="false">IF(A94="","",SUM(B94:M94))</f>
        <v/>
      </c>
    </row>
    <row r="95" customFormat="false" ht="15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3" t="str">
        <f aca="false">IF(A95="","",SUM(B95:M95))</f>
        <v/>
      </c>
    </row>
    <row r="96" customFormat="false" ht="15.75" hidden="false" customHeight="true" outlineLevel="0" collapsed="false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6" t="str">
        <f aca="false">IF(A96="","",SUM(B96:M96))</f>
        <v/>
      </c>
    </row>
    <row r="97" customFormat="false" ht="13.8" hidden="false" customHeight="false" outlineLevel="0" collapsed="false"/>
    <row r="98" customFormat="false" ht="7.5" hidden="false" customHeight="true" outlineLevel="0" collapsed="false"/>
    <row r="99" customFormat="false" ht="21.75" hidden="false" customHeight="true" outlineLevel="0" collapsed="false">
      <c r="A99" s="48" t="s">
        <v>64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</row>
    <row r="100" customFormat="false" ht="18" hidden="false" customHeight="true" outlineLevel="0" collapsed="false">
      <c r="A100" s="49" t="s">
        <v>65</v>
      </c>
      <c r="B100" s="42" t="n">
        <f aca="false">IFERROR(SUMPRODUCT((TEXT('Daily Dispatch'!$A$7:$A$506,"MMM YYYY")=A100)*ISNUMBER('Daily Dispatch'!$A$7:$A$506)*'Daily Dispatch'!B7:B506),0)</f>
        <v>0</v>
      </c>
      <c r="C100" s="42" t="n">
        <f aca="false">IFERROR(SUMPRODUCT((TEXT('Daily Dispatch'!$A$7:$A$506,"MMM YYYY")=A100)*ISNUMBER('Daily Dispatch'!$A$7:$A$506)*'Daily Dispatch'!C7:C506),0)</f>
        <v>0</v>
      </c>
      <c r="D100" s="42" t="n">
        <f aca="false">IFERROR(SUMPRODUCT((TEXT('Daily Dispatch'!$A$7:$A$506,"MMM YYYY")=A100)*ISNUMBER('Daily Dispatch'!$A$7:$A$506)*'Daily Dispatch'!D7:D506),0)</f>
        <v>0</v>
      </c>
      <c r="E100" s="42" t="n">
        <f aca="false">IFERROR(SUMPRODUCT((TEXT('Daily Dispatch'!$A$7:$A$506,"MMM YYYY")=A100)*ISNUMBER('Daily Dispatch'!$A$7:$A$506)*'Daily Dispatch'!E7:E506),0)</f>
        <v>0</v>
      </c>
      <c r="F100" s="42" t="n">
        <f aca="false">IFERROR(SUMPRODUCT((TEXT('Daily Dispatch'!$A$7:$A$506,"MMM YYYY")=A100)*ISNUMBER('Daily Dispatch'!$A$7:$A$506)*'Daily Dispatch'!F7:F506),0)</f>
        <v>0</v>
      </c>
      <c r="G100" s="42" t="n">
        <f aca="false">IFERROR(SUMPRODUCT((TEXT('Daily Dispatch'!$A$7:$A$506,"MMM YYYY")=A100)*ISNUMBER('Daily Dispatch'!$A$7:$A$506)*'Daily Dispatch'!G7:G506),0)</f>
        <v>0</v>
      </c>
      <c r="H100" s="42" t="n">
        <f aca="false">IFERROR(SUMPRODUCT((TEXT('Daily Dispatch'!$A$7:$A$506,"MMM YYYY")=A100)*ISNUMBER('Daily Dispatch'!$A$7:$A$506)*'Daily Dispatch'!H7:H506),0)</f>
        <v>0</v>
      </c>
      <c r="I100" s="42" t="n">
        <f aca="false">IFERROR(SUMPRODUCT((TEXT('Daily Dispatch'!$A$7:$A$506,"MMM YYYY")=A100)*ISNUMBER('Daily Dispatch'!$A$7:$A$506)*'Daily Dispatch'!I7:I506),0)</f>
        <v>0</v>
      </c>
      <c r="J100" s="42" t="n">
        <f aca="false">IFERROR(SUMPRODUCT((TEXT('Daily Dispatch'!$A$7:$A$506,"MMM YYYY")=A100)*ISNUMBER('Daily Dispatch'!$A$7:$A$506)*'Daily Dispatch'!J7:J506),0)</f>
        <v>0</v>
      </c>
      <c r="K100" s="42" t="n">
        <f aca="false">IFERROR(SUMPRODUCT((TEXT('Daily Dispatch'!$A$7:$A$506,"MMM YYYY")=A100)*ISNUMBER('Daily Dispatch'!$A$7:$A$506)*'Daily Dispatch'!K7:K506),0)</f>
        <v>0</v>
      </c>
      <c r="L100" s="42" t="n">
        <f aca="false">IFERROR(SUMPRODUCT((TEXT('Daily Dispatch'!$A$7:$A$506,"MMM YYYY")=A100)*ISNUMBER('Daily Dispatch'!$A$7:$A$506)*'Daily Dispatch'!L7:L506),0)</f>
        <v>0</v>
      </c>
      <c r="M100" s="42" t="n">
        <f aca="false">IFERROR(SUMPRODUCT((TEXT('Daily Dispatch'!$A$7:$A$506,"MMM YYYY")=A100)*ISNUMBER('Daily Dispatch'!$A$7:$A$506)*'Daily Dispatch'!M7:M506),0)</f>
        <v>0</v>
      </c>
      <c r="N100" s="43" t="n">
        <f aca="false">SUM(B100:M100)</f>
        <v>0</v>
      </c>
    </row>
    <row r="101" customFormat="false" ht="18" hidden="false" customHeight="true" outlineLevel="0" collapsed="false">
      <c r="A101" s="50" t="s">
        <v>66</v>
      </c>
      <c r="B101" s="45" t="n">
        <f aca="false">IFERROR(SUMPRODUCT((TEXT('Daily Dispatch'!$A$7:$A$506,"MMM YYYY")=A101)*ISNUMBER('Daily Dispatch'!$A$7:$A$506)*'Daily Dispatch'!B7:B506),0)</f>
        <v>0</v>
      </c>
      <c r="C101" s="45" t="n">
        <f aca="false">IFERROR(SUMPRODUCT((TEXT('Daily Dispatch'!$A$7:$A$506,"MMM YYYY")=A101)*ISNUMBER('Daily Dispatch'!$A$7:$A$506)*'Daily Dispatch'!C7:C506),0)</f>
        <v>0</v>
      </c>
      <c r="D101" s="45" t="n">
        <f aca="false">IFERROR(SUMPRODUCT((TEXT('Daily Dispatch'!$A$7:$A$506,"MMM YYYY")=A101)*ISNUMBER('Daily Dispatch'!$A$7:$A$506)*'Daily Dispatch'!D7:D506),0)</f>
        <v>0</v>
      </c>
      <c r="E101" s="45" t="n">
        <f aca="false">IFERROR(SUMPRODUCT((TEXT('Daily Dispatch'!$A$7:$A$506,"MMM YYYY")=A101)*ISNUMBER('Daily Dispatch'!$A$7:$A$506)*'Daily Dispatch'!E7:E506),0)</f>
        <v>0</v>
      </c>
      <c r="F101" s="45" t="n">
        <f aca="false">IFERROR(SUMPRODUCT((TEXT('Daily Dispatch'!$A$7:$A$506,"MMM YYYY")=A101)*ISNUMBER('Daily Dispatch'!$A$7:$A$506)*'Daily Dispatch'!F7:F506),0)</f>
        <v>0</v>
      </c>
      <c r="G101" s="45" t="n">
        <f aca="false">IFERROR(SUMPRODUCT((TEXT('Daily Dispatch'!$A$7:$A$506,"MMM YYYY")=A101)*ISNUMBER('Daily Dispatch'!$A$7:$A$506)*'Daily Dispatch'!G7:G506),0)</f>
        <v>0</v>
      </c>
      <c r="H101" s="45" t="n">
        <f aca="false">IFERROR(SUMPRODUCT((TEXT('Daily Dispatch'!$A$7:$A$506,"MMM YYYY")=A101)*ISNUMBER('Daily Dispatch'!$A$7:$A$506)*'Daily Dispatch'!H7:H506),0)</f>
        <v>0</v>
      </c>
      <c r="I101" s="45" t="n">
        <f aca="false">IFERROR(SUMPRODUCT((TEXT('Daily Dispatch'!$A$7:$A$506,"MMM YYYY")=A101)*ISNUMBER('Daily Dispatch'!$A$7:$A$506)*'Daily Dispatch'!I7:I506),0)</f>
        <v>0</v>
      </c>
      <c r="J101" s="45" t="n">
        <f aca="false">IFERROR(SUMPRODUCT((TEXT('Daily Dispatch'!$A$7:$A$506,"MMM YYYY")=A101)*ISNUMBER('Daily Dispatch'!$A$7:$A$506)*'Daily Dispatch'!J7:J506),0)</f>
        <v>0</v>
      </c>
      <c r="K101" s="45" t="n">
        <f aca="false">IFERROR(SUMPRODUCT((TEXT('Daily Dispatch'!$A$7:$A$506,"MMM YYYY")=A101)*ISNUMBER('Daily Dispatch'!$A$7:$A$506)*'Daily Dispatch'!K7:K506),0)</f>
        <v>0</v>
      </c>
      <c r="L101" s="45" t="n">
        <f aca="false">IFERROR(SUMPRODUCT((TEXT('Daily Dispatch'!$A$7:$A$506,"MMM YYYY")=A101)*ISNUMBER('Daily Dispatch'!$A$7:$A$506)*'Daily Dispatch'!L7:L506),0)</f>
        <v>0</v>
      </c>
      <c r="M101" s="45" t="n">
        <f aca="false">IFERROR(SUMPRODUCT((TEXT('Daily Dispatch'!$A$7:$A$506,"MMM YYYY")=A101)*ISNUMBER('Daily Dispatch'!$A$7:$A$506)*'Daily Dispatch'!M7:M506),0)</f>
        <v>0</v>
      </c>
      <c r="N101" s="46" t="n">
        <f aca="false">SUM(B101:M101)</f>
        <v>0</v>
      </c>
    </row>
    <row r="102" customFormat="false" ht="18" hidden="false" customHeight="true" outlineLevel="0" collapsed="false">
      <c r="A102" s="49" t="s">
        <v>67</v>
      </c>
      <c r="B102" s="42" t="n">
        <f aca="false">IFERROR(SUMPRODUCT((TEXT('Daily Dispatch'!$A$7:$A$506,"MMM YYYY")=A102)*ISNUMBER('Daily Dispatch'!$A$7:$A$506)*'Daily Dispatch'!B7:B506),0)</f>
        <v>0</v>
      </c>
      <c r="C102" s="42" t="n">
        <f aca="false">IFERROR(SUMPRODUCT((TEXT('Daily Dispatch'!$A$7:$A$506,"MMM YYYY")=A102)*ISNUMBER('Daily Dispatch'!$A$7:$A$506)*'Daily Dispatch'!C7:C506),0)</f>
        <v>0</v>
      </c>
      <c r="D102" s="42" t="n">
        <f aca="false">IFERROR(SUMPRODUCT((TEXT('Daily Dispatch'!$A$7:$A$506,"MMM YYYY")=A102)*ISNUMBER('Daily Dispatch'!$A$7:$A$506)*'Daily Dispatch'!D7:D506),0)</f>
        <v>0</v>
      </c>
      <c r="E102" s="42" t="n">
        <f aca="false">IFERROR(SUMPRODUCT((TEXT('Daily Dispatch'!$A$7:$A$506,"MMM YYYY")=A102)*ISNUMBER('Daily Dispatch'!$A$7:$A$506)*'Daily Dispatch'!E7:E506),0)</f>
        <v>0</v>
      </c>
      <c r="F102" s="42" t="n">
        <f aca="false">IFERROR(SUMPRODUCT((TEXT('Daily Dispatch'!$A$7:$A$506,"MMM YYYY")=A102)*ISNUMBER('Daily Dispatch'!$A$7:$A$506)*'Daily Dispatch'!F7:F506),0)</f>
        <v>0</v>
      </c>
      <c r="G102" s="42" t="n">
        <f aca="false">IFERROR(SUMPRODUCT((TEXT('Daily Dispatch'!$A$7:$A$506,"MMM YYYY")=A102)*ISNUMBER('Daily Dispatch'!$A$7:$A$506)*'Daily Dispatch'!G7:G506),0)</f>
        <v>0</v>
      </c>
      <c r="H102" s="42" t="n">
        <f aca="false">IFERROR(SUMPRODUCT((TEXT('Daily Dispatch'!$A$7:$A$506,"MMM YYYY")=A102)*ISNUMBER('Daily Dispatch'!$A$7:$A$506)*'Daily Dispatch'!H7:H506),0)</f>
        <v>0</v>
      </c>
      <c r="I102" s="42" t="n">
        <f aca="false">IFERROR(SUMPRODUCT((TEXT('Daily Dispatch'!$A$7:$A$506,"MMM YYYY")=A102)*ISNUMBER('Daily Dispatch'!$A$7:$A$506)*'Daily Dispatch'!I7:I506),0)</f>
        <v>0</v>
      </c>
      <c r="J102" s="42" t="n">
        <f aca="false">IFERROR(SUMPRODUCT((TEXT('Daily Dispatch'!$A$7:$A$506,"MMM YYYY")=A102)*ISNUMBER('Daily Dispatch'!$A$7:$A$506)*'Daily Dispatch'!J7:J506),0)</f>
        <v>0</v>
      </c>
      <c r="K102" s="42" t="n">
        <f aca="false">IFERROR(SUMPRODUCT((TEXT('Daily Dispatch'!$A$7:$A$506,"MMM YYYY")=A102)*ISNUMBER('Daily Dispatch'!$A$7:$A$506)*'Daily Dispatch'!K7:K506),0)</f>
        <v>0</v>
      </c>
      <c r="L102" s="42" t="n">
        <f aca="false">IFERROR(SUMPRODUCT((TEXT('Daily Dispatch'!$A$7:$A$506,"MMM YYYY")=A102)*ISNUMBER('Daily Dispatch'!$A$7:$A$506)*'Daily Dispatch'!L7:L506),0)</f>
        <v>0</v>
      </c>
      <c r="M102" s="42" t="n">
        <f aca="false">IFERROR(SUMPRODUCT((TEXT('Daily Dispatch'!$A$7:$A$506,"MMM YYYY")=A102)*ISNUMBER('Daily Dispatch'!$A$7:$A$506)*'Daily Dispatch'!M7:M506),0)</f>
        <v>0</v>
      </c>
      <c r="N102" s="43" t="n">
        <f aca="false">SUM(B102:M102)</f>
        <v>0</v>
      </c>
    </row>
    <row r="103" customFormat="false" ht="18" hidden="false" customHeight="true" outlineLevel="0" collapsed="false">
      <c r="A103" s="50" t="s">
        <v>68</v>
      </c>
      <c r="B103" s="45" t="n">
        <f aca="false">IFERROR(SUMPRODUCT((TEXT('Daily Dispatch'!$A$7:$A$506,"MMM YYYY")=A103)*ISNUMBER('Daily Dispatch'!$A$7:$A$506)*'Daily Dispatch'!B7:B506),0)</f>
        <v>0</v>
      </c>
      <c r="C103" s="45" t="n">
        <f aca="false">IFERROR(SUMPRODUCT((TEXT('Daily Dispatch'!$A$7:$A$506,"MMM YYYY")=A103)*ISNUMBER('Daily Dispatch'!$A$7:$A$506)*'Daily Dispatch'!C7:C506),0)</f>
        <v>0</v>
      </c>
      <c r="D103" s="45" t="n">
        <f aca="false">IFERROR(SUMPRODUCT((TEXT('Daily Dispatch'!$A$7:$A$506,"MMM YYYY")=A103)*ISNUMBER('Daily Dispatch'!$A$7:$A$506)*'Daily Dispatch'!D7:D506),0)</f>
        <v>0</v>
      </c>
      <c r="E103" s="45" t="n">
        <f aca="false">IFERROR(SUMPRODUCT((TEXT('Daily Dispatch'!$A$7:$A$506,"MMM YYYY")=A103)*ISNUMBER('Daily Dispatch'!$A$7:$A$506)*'Daily Dispatch'!E7:E506),0)</f>
        <v>0</v>
      </c>
      <c r="F103" s="45" t="n">
        <f aca="false">IFERROR(SUMPRODUCT((TEXT('Daily Dispatch'!$A$7:$A$506,"MMM YYYY")=A103)*ISNUMBER('Daily Dispatch'!$A$7:$A$506)*'Daily Dispatch'!F7:F506),0)</f>
        <v>0</v>
      </c>
      <c r="G103" s="45" t="n">
        <f aca="false">IFERROR(SUMPRODUCT((TEXT('Daily Dispatch'!$A$7:$A$506,"MMM YYYY")=A103)*ISNUMBER('Daily Dispatch'!$A$7:$A$506)*'Daily Dispatch'!G7:G506),0)</f>
        <v>0</v>
      </c>
      <c r="H103" s="45" t="n">
        <f aca="false">IFERROR(SUMPRODUCT((TEXT('Daily Dispatch'!$A$7:$A$506,"MMM YYYY")=A103)*ISNUMBER('Daily Dispatch'!$A$7:$A$506)*'Daily Dispatch'!H7:H506),0)</f>
        <v>0</v>
      </c>
      <c r="I103" s="45" t="n">
        <f aca="false">IFERROR(SUMPRODUCT((TEXT('Daily Dispatch'!$A$7:$A$506,"MMM YYYY")=A103)*ISNUMBER('Daily Dispatch'!$A$7:$A$506)*'Daily Dispatch'!I7:I506),0)</f>
        <v>0</v>
      </c>
      <c r="J103" s="45" t="n">
        <f aca="false">IFERROR(SUMPRODUCT((TEXT('Daily Dispatch'!$A$7:$A$506,"MMM YYYY")=A103)*ISNUMBER('Daily Dispatch'!$A$7:$A$506)*'Daily Dispatch'!J7:J506),0)</f>
        <v>0</v>
      </c>
      <c r="K103" s="45" t="n">
        <f aca="false">IFERROR(SUMPRODUCT((TEXT('Daily Dispatch'!$A$7:$A$506,"MMM YYYY")=A103)*ISNUMBER('Daily Dispatch'!$A$7:$A$506)*'Daily Dispatch'!K7:K506),0)</f>
        <v>0</v>
      </c>
      <c r="L103" s="45" t="n">
        <f aca="false">IFERROR(SUMPRODUCT((TEXT('Daily Dispatch'!$A$7:$A$506,"MMM YYYY")=A103)*ISNUMBER('Daily Dispatch'!$A$7:$A$506)*'Daily Dispatch'!L7:L506),0)</f>
        <v>0</v>
      </c>
      <c r="M103" s="45" t="n">
        <f aca="false">IFERROR(SUMPRODUCT((TEXT('Daily Dispatch'!$A$7:$A$506,"MMM YYYY")=A103)*ISNUMBER('Daily Dispatch'!$A$7:$A$506)*'Daily Dispatch'!M7:M506),0)</f>
        <v>0</v>
      </c>
      <c r="N103" s="46" t="n">
        <f aca="false">SUM(B103:M103)</f>
        <v>0</v>
      </c>
    </row>
    <row r="104" customFormat="false" ht="18" hidden="false" customHeight="true" outlineLevel="0" collapsed="false">
      <c r="A104" s="49" t="s">
        <v>69</v>
      </c>
      <c r="B104" s="42" t="n">
        <f aca="false">IFERROR(SUMPRODUCT((TEXT('Daily Dispatch'!$A$7:$A$506,"MMM YYYY")=A104)*ISNUMBER('Daily Dispatch'!$A$7:$A$506)*'Daily Dispatch'!B7:B506),0)</f>
        <v>0</v>
      </c>
      <c r="C104" s="42" t="n">
        <f aca="false">IFERROR(SUMPRODUCT((TEXT('Daily Dispatch'!$A$7:$A$506,"MMM YYYY")=A104)*ISNUMBER('Daily Dispatch'!$A$7:$A$506)*'Daily Dispatch'!C7:C506),0)</f>
        <v>0</v>
      </c>
      <c r="D104" s="42" t="n">
        <f aca="false">IFERROR(SUMPRODUCT((TEXT('Daily Dispatch'!$A$7:$A$506,"MMM YYYY")=A104)*ISNUMBER('Daily Dispatch'!$A$7:$A$506)*'Daily Dispatch'!D7:D506),0)</f>
        <v>0</v>
      </c>
      <c r="E104" s="42" t="n">
        <f aca="false">IFERROR(SUMPRODUCT((TEXT('Daily Dispatch'!$A$7:$A$506,"MMM YYYY")=A104)*ISNUMBER('Daily Dispatch'!$A$7:$A$506)*'Daily Dispatch'!E7:E506),0)</f>
        <v>0</v>
      </c>
      <c r="F104" s="42" t="n">
        <f aca="false">IFERROR(SUMPRODUCT((TEXT('Daily Dispatch'!$A$7:$A$506,"MMM YYYY")=A104)*ISNUMBER('Daily Dispatch'!$A$7:$A$506)*'Daily Dispatch'!F7:F506),0)</f>
        <v>0</v>
      </c>
      <c r="G104" s="42" t="n">
        <f aca="false">IFERROR(SUMPRODUCT((TEXT('Daily Dispatch'!$A$7:$A$506,"MMM YYYY")=A104)*ISNUMBER('Daily Dispatch'!$A$7:$A$506)*'Daily Dispatch'!G7:G506),0)</f>
        <v>0</v>
      </c>
      <c r="H104" s="42" t="n">
        <f aca="false">IFERROR(SUMPRODUCT((TEXT('Daily Dispatch'!$A$7:$A$506,"MMM YYYY")=A104)*ISNUMBER('Daily Dispatch'!$A$7:$A$506)*'Daily Dispatch'!H7:H506),0)</f>
        <v>0</v>
      </c>
      <c r="I104" s="42" t="n">
        <f aca="false">IFERROR(SUMPRODUCT((TEXT('Daily Dispatch'!$A$7:$A$506,"MMM YYYY")=A104)*ISNUMBER('Daily Dispatch'!$A$7:$A$506)*'Daily Dispatch'!I7:I506),0)</f>
        <v>0</v>
      </c>
      <c r="J104" s="42" t="n">
        <f aca="false">IFERROR(SUMPRODUCT((TEXT('Daily Dispatch'!$A$7:$A$506,"MMM YYYY")=A104)*ISNUMBER('Daily Dispatch'!$A$7:$A$506)*'Daily Dispatch'!J7:J506),0)</f>
        <v>0</v>
      </c>
      <c r="K104" s="42" t="n">
        <f aca="false">IFERROR(SUMPRODUCT((TEXT('Daily Dispatch'!$A$7:$A$506,"MMM YYYY")=A104)*ISNUMBER('Daily Dispatch'!$A$7:$A$506)*'Daily Dispatch'!K7:K506),0)</f>
        <v>0</v>
      </c>
      <c r="L104" s="42" t="n">
        <f aca="false">IFERROR(SUMPRODUCT((TEXT('Daily Dispatch'!$A$7:$A$506,"MMM YYYY")=A104)*ISNUMBER('Daily Dispatch'!$A$7:$A$506)*'Daily Dispatch'!L7:L506),0)</f>
        <v>0</v>
      </c>
      <c r="M104" s="42" t="n">
        <f aca="false">IFERROR(SUMPRODUCT((TEXT('Daily Dispatch'!$A$7:$A$506,"MMM YYYY")=A104)*ISNUMBER('Daily Dispatch'!$A$7:$A$506)*'Daily Dispatch'!M7:M506),0)</f>
        <v>0</v>
      </c>
      <c r="N104" s="43" t="n">
        <f aca="false">SUM(B104:M104)</f>
        <v>0</v>
      </c>
    </row>
    <row r="105" customFormat="false" ht="18" hidden="false" customHeight="true" outlineLevel="0" collapsed="false">
      <c r="A105" s="50" t="s">
        <v>70</v>
      </c>
      <c r="B105" s="45" t="n">
        <f aca="false">IFERROR(SUMPRODUCT((TEXT('Daily Dispatch'!$A$7:$A$506,"MMM YYYY")=A105)*ISNUMBER('Daily Dispatch'!$A$7:$A$506)*'Daily Dispatch'!B7:B506),0)</f>
        <v>0</v>
      </c>
      <c r="C105" s="45" t="n">
        <f aca="false">IFERROR(SUMPRODUCT((TEXT('Daily Dispatch'!$A$7:$A$506,"MMM YYYY")=A105)*ISNUMBER('Daily Dispatch'!$A$7:$A$506)*'Daily Dispatch'!C7:C506),0)</f>
        <v>0</v>
      </c>
      <c r="D105" s="45" t="n">
        <f aca="false">IFERROR(SUMPRODUCT((TEXT('Daily Dispatch'!$A$7:$A$506,"MMM YYYY")=A105)*ISNUMBER('Daily Dispatch'!$A$7:$A$506)*'Daily Dispatch'!D7:D506),0)</f>
        <v>0</v>
      </c>
      <c r="E105" s="45" t="n">
        <f aca="false">IFERROR(SUMPRODUCT((TEXT('Daily Dispatch'!$A$7:$A$506,"MMM YYYY")=A105)*ISNUMBER('Daily Dispatch'!$A$7:$A$506)*'Daily Dispatch'!E7:E506),0)</f>
        <v>0</v>
      </c>
      <c r="F105" s="45" t="n">
        <f aca="false">IFERROR(SUMPRODUCT((TEXT('Daily Dispatch'!$A$7:$A$506,"MMM YYYY")=A105)*ISNUMBER('Daily Dispatch'!$A$7:$A$506)*'Daily Dispatch'!F7:F506),0)</f>
        <v>0</v>
      </c>
      <c r="G105" s="45" t="n">
        <f aca="false">IFERROR(SUMPRODUCT((TEXT('Daily Dispatch'!$A$7:$A$506,"MMM YYYY")=A105)*ISNUMBER('Daily Dispatch'!$A$7:$A$506)*'Daily Dispatch'!G7:G506),0)</f>
        <v>0</v>
      </c>
      <c r="H105" s="45" t="n">
        <f aca="false">IFERROR(SUMPRODUCT((TEXT('Daily Dispatch'!$A$7:$A$506,"MMM YYYY")=A105)*ISNUMBER('Daily Dispatch'!$A$7:$A$506)*'Daily Dispatch'!H7:H506),0)</f>
        <v>0</v>
      </c>
      <c r="I105" s="45" t="n">
        <f aca="false">IFERROR(SUMPRODUCT((TEXT('Daily Dispatch'!$A$7:$A$506,"MMM YYYY")=A105)*ISNUMBER('Daily Dispatch'!$A$7:$A$506)*'Daily Dispatch'!I7:I506),0)</f>
        <v>0</v>
      </c>
      <c r="J105" s="45" t="n">
        <f aca="false">IFERROR(SUMPRODUCT((TEXT('Daily Dispatch'!$A$7:$A$506,"MMM YYYY")=A105)*ISNUMBER('Daily Dispatch'!$A$7:$A$506)*'Daily Dispatch'!J7:J506),0)</f>
        <v>0</v>
      </c>
      <c r="K105" s="45" t="n">
        <f aca="false">IFERROR(SUMPRODUCT((TEXT('Daily Dispatch'!$A$7:$A$506,"MMM YYYY")=A105)*ISNUMBER('Daily Dispatch'!$A$7:$A$506)*'Daily Dispatch'!K7:K506),0)</f>
        <v>0</v>
      </c>
      <c r="L105" s="45" t="n">
        <f aca="false">IFERROR(SUMPRODUCT((TEXT('Daily Dispatch'!$A$7:$A$506,"MMM YYYY")=A105)*ISNUMBER('Daily Dispatch'!$A$7:$A$506)*'Daily Dispatch'!L7:L506),0)</f>
        <v>0</v>
      </c>
      <c r="M105" s="45" t="n">
        <f aca="false">IFERROR(SUMPRODUCT((TEXT('Daily Dispatch'!$A$7:$A$506,"MMM YYYY")=A105)*ISNUMBER('Daily Dispatch'!$A$7:$A$506)*'Daily Dispatch'!M7:M506),0)</f>
        <v>0</v>
      </c>
      <c r="N105" s="46" t="n">
        <f aca="false">SUM(B105:M105)</f>
        <v>0</v>
      </c>
    </row>
    <row r="106" customFormat="false" ht="18" hidden="false" customHeight="true" outlineLevel="0" collapsed="false">
      <c r="A106" s="49" t="s">
        <v>71</v>
      </c>
      <c r="B106" s="42" t="n">
        <f aca="false">IFERROR(SUMPRODUCT((TEXT('Daily Dispatch'!$A$7:$A$506,"MMM YYYY")=A106)*ISNUMBER('Daily Dispatch'!$A$7:$A$506)*'Daily Dispatch'!B7:B506),0)</f>
        <v>0</v>
      </c>
      <c r="C106" s="42" t="n">
        <f aca="false">IFERROR(SUMPRODUCT((TEXT('Daily Dispatch'!$A$7:$A$506,"MMM YYYY")=A106)*ISNUMBER('Daily Dispatch'!$A$7:$A$506)*'Daily Dispatch'!C7:C506),0)</f>
        <v>0</v>
      </c>
      <c r="D106" s="42" t="n">
        <f aca="false">IFERROR(SUMPRODUCT((TEXT('Daily Dispatch'!$A$7:$A$506,"MMM YYYY")=A106)*ISNUMBER('Daily Dispatch'!$A$7:$A$506)*'Daily Dispatch'!D7:D506),0)</f>
        <v>0</v>
      </c>
      <c r="E106" s="42" t="n">
        <f aca="false">IFERROR(SUMPRODUCT((TEXT('Daily Dispatch'!$A$7:$A$506,"MMM YYYY")=A106)*ISNUMBER('Daily Dispatch'!$A$7:$A$506)*'Daily Dispatch'!E7:E506),0)</f>
        <v>0</v>
      </c>
      <c r="F106" s="42" t="n">
        <f aca="false">IFERROR(SUMPRODUCT((TEXT('Daily Dispatch'!$A$7:$A$506,"MMM YYYY")=A106)*ISNUMBER('Daily Dispatch'!$A$7:$A$506)*'Daily Dispatch'!F7:F506),0)</f>
        <v>0</v>
      </c>
      <c r="G106" s="42" t="n">
        <f aca="false">IFERROR(SUMPRODUCT((TEXT('Daily Dispatch'!$A$7:$A$506,"MMM YYYY")=A106)*ISNUMBER('Daily Dispatch'!$A$7:$A$506)*'Daily Dispatch'!G7:G506),0)</f>
        <v>0</v>
      </c>
      <c r="H106" s="42" t="n">
        <f aca="false">IFERROR(SUMPRODUCT((TEXT('Daily Dispatch'!$A$7:$A$506,"MMM YYYY")=A106)*ISNUMBER('Daily Dispatch'!$A$7:$A$506)*'Daily Dispatch'!H7:H506),0)</f>
        <v>0</v>
      </c>
      <c r="I106" s="42" t="n">
        <f aca="false">IFERROR(SUMPRODUCT((TEXT('Daily Dispatch'!$A$7:$A$506,"MMM YYYY")=A106)*ISNUMBER('Daily Dispatch'!$A$7:$A$506)*'Daily Dispatch'!I7:I506),0)</f>
        <v>0</v>
      </c>
      <c r="J106" s="42" t="n">
        <f aca="false">IFERROR(SUMPRODUCT((TEXT('Daily Dispatch'!$A$7:$A$506,"MMM YYYY")=A106)*ISNUMBER('Daily Dispatch'!$A$7:$A$506)*'Daily Dispatch'!J7:J506),0)</f>
        <v>0</v>
      </c>
      <c r="K106" s="42" t="n">
        <f aca="false">IFERROR(SUMPRODUCT((TEXT('Daily Dispatch'!$A$7:$A$506,"MMM YYYY")=A106)*ISNUMBER('Daily Dispatch'!$A$7:$A$506)*'Daily Dispatch'!K7:K506),0)</f>
        <v>0</v>
      </c>
      <c r="L106" s="42" t="n">
        <f aca="false">IFERROR(SUMPRODUCT((TEXT('Daily Dispatch'!$A$7:$A$506,"MMM YYYY")=A106)*ISNUMBER('Daily Dispatch'!$A$7:$A$506)*'Daily Dispatch'!L7:L506),0)</f>
        <v>0</v>
      </c>
      <c r="M106" s="42" t="n">
        <f aca="false">IFERROR(SUMPRODUCT((TEXT('Daily Dispatch'!$A$7:$A$506,"MMM YYYY")=A106)*ISNUMBER('Daily Dispatch'!$A$7:$A$506)*'Daily Dispatch'!M7:M506),0)</f>
        <v>0</v>
      </c>
      <c r="N106" s="43" t="n">
        <f aca="false">SUM(B106:M106)</f>
        <v>0</v>
      </c>
    </row>
    <row r="107" customFormat="false" ht="18" hidden="false" customHeight="true" outlineLevel="0" collapsed="false">
      <c r="A107" s="50" t="s">
        <v>72</v>
      </c>
      <c r="B107" s="45" t="n">
        <f aca="false">IFERROR(SUMPRODUCT((TEXT('Daily Dispatch'!$A$7:$A$506,"MMM YYYY")=A107)*ISNUMBER('Daily Dispatch'!$A$7:$A$506)*'Daily Dispatch'!B7:B506),0)</f>
        <v>0</v>
      </c>
      <c r="C107" s="45" t="n">
        <f aca="false">IFERROR(SUMPRODUCT((TEXT('Daily Dispatch'!$A$7:$A$506,"MMM YYYY")=A107)*ISNUMBER('Daily Dispatch'!$A$7:$A$506)*'Daily Dispatch'!C7:C506),0)</f>
        <v>0</v>
      </c>
      <c r="D107" s="45" t="n">
        <f aca="false">IFERROR(SUMPRODUCT((TEXT('Daily Dispatch'!$A$7:$A$506,"MMM YYYY")=A107)*ISNUMBER('Daily Dispatch'!$A$7:$A$506)*'Daily Dispatch'!D7:D506),0)</f>
        <v>0</v>
      </c>
      <c r="E107" s="45" t="n">
        <f aca="false">IFERROR(SUMPRODUCT((TEXT('Daily Dispatch'!$A$7:$A$506,"MMM YYYY")=A107)*ISNUMBER('Daily Dispatch'!$A$7:$A$506)*'Daily Dispatch'!E7:E506),0)</f>
        <v>0</v>
      </c>
      <c r="F107" s="45" t="n">
        <f aca="false">IFERROR(SUMPRODUCT((TEXT('Daily Dispatch'!$A$7:$A$506,"MMM YYYY")=A107)*ISNUMBER('Daily Dispatch'!$A$7:$A$506)*'Daily Dispatch'!F7:F506),0)</f>
        <v>0</v>
      </c>
      <c r="G107" s="45" t="n">
        <f aca="false">IFERROR(SUMPRODUCT((TEXT('Daily Dispatch'!$A$7:$A$506,"MMM YYYY")=A107)*ISNUMBER('Daily Dispatch'!$A$7:$A$506)*'Daily Dispatch'!G7:G506),0)</f>
        <v>0</v>
      </c>
      <c r="H107" s="45" t="n">
        <f aca="false">IFERROR(SUMPRODUCT((TEXT('Daily Dispatch'!$A$7:$A$506,"MMM YYYY")=A107)*ISNUMBER('Daily Dispatch'!$A$7:$A$506)*'Daily Dispatch'!H7:H506),0)</f>
        <v>0</v>
      </c>
      <c r="I107" s="45" t="n">
        <f aca="false">IFERROR(SUMPRODUCT((TEXT('Daily Dispatch'!$A$7:$A$506,"MMM YYYY")=A107)*ISNUMBER('Daily Dispatch'!$A$7:$A$506)*'Daily Dispatch'!I7:I506),0)</f>
        <v>0</v>
      </c>
      <c r="J107" s="45" t="n">
        <f aca="false">IFERROR(SUMPRODUCT((TEXT('Daily Dispatch'!$A$7:$A$506,"MMM YYYY")=A107)*ISNUMBER('Daily Dispatch'!$A$7:$A$506)*'Daily Dispatch'!J7:J506),0)</f>
        <v>0</v>
      </c>
      <c r="K107" s="45" t="n">
        <f aca="false">IFERROR(SUMPRODUCT((TEXT('Daily Dispatch'!$A$7:$A$506,"MMM YYYY")=A107)*ISNUMBER('Daily Dispatch'!$A$7:$A$506)*'Daily Dispatch'!K7:K506),0)</f>
        <v>0</v>
      </c>
      <c r="L107" s="45" t="n">
        <f aca="false">IFERROR(SUMPRODUCT((TEXT('Daily Dispatch'!$A$7:$A$506,"MMM YYYY")=A107)*ISNUMBER('Daily Dispatch'!$A$7:$A$506)*'Daily Dispatch'!L7:L506),0)</f>
        <v>0</v>
      </c>
      <c r="M107" s="45" t="n">
        <f aca="false">IFERROR(SUMPRODUCT((TEXT('Daily Dispatch'!$A$7:$A$506,"MMM YYYY")=A107)*ISNUMBER('Daily Dispatch'!$A$7:$A$506)*'Daily Dispatch'!M7:M506),0)</f>
        <v>0</v>
      </c>
      <c r="N107" s="46" t="n">
        <f aca="false">SUM(B107:M107)</f>
        <v>0</v>
      </c>
    </row>
    <row r="108" customFormat="false" ht="18" hidden="false" customHeight="true" outlineLevel="0" collapsed="false">
      <c r="A108" s="49" t="s">
        <v>73</v>
      </c>
      <c r="B108" s="42" t="n">
        <f aca="false">IFERROR(SUMPRODUCT((TEXT('Daily Dispatch'!$A$7:$A$506,"MMM YYYY")=A108)*ISNUMBER('Daily Dispatch'!$A$7:$A$506)*'Daily Dispatch'!B7:B506),0)</f>
        <v>0</v>
      </c>
      <c r="C108" s="42" t="n">
        <f aca="false">IFERROR(SUMPRODUCT((TEXT('Daily Dispatch'!$A$7:$A$506,"MMM YYYY")=A108)*ISNUMBER('Daily Dispatch'!$A$7:$A$506)*'Daily Dispatch'!C7:C506),0)</f>
        <v>0</v>
      </c>
      <c r="D108" s="42" t="n">
        <f aca="false">IFERROR(SUMPRODUCT((TEXT('Daily Dispatch'!$A$7:$A$506,"MMM YYYY")=A108)*ISNUMBER('Daily Dispatch'!$A$7:$A$506)*'Daily Dispatch'!D7:D506),0)</f>
        <v>0</v>
      </c>
      <c r="E108" s="42" t="n">
        <f aca="false">IFERROR(SUMPRODUCT((TEXT('Daily Dispatch'!$A$7:$A$506,"MMM YYYY")=A108)*ISNUMBER('Daily Dispatch'!$A$7:$A$506)*'Daily Dispatch'!E7:E506),0)</f>
        <v>0</v>
      </c>
      <c r="F108" s="42" t="n">
        <f aca="false">IFERROR(SUMPRODUCT((TEXT('Daily Dispatch'!$A$7:$A$506,"MMM YYYY")=A108)*ISNUMBER('Daily Dispatch'!$A$7:$A$506)*'Daily Dispatch'!F7:F506),0)</f>
        <v>0</v>
      </c>
      <c r="G108" s="42" t="n">
        <f aca="false">IFERROR(SUMPRODUCT((TEXT('Daily Dispatch'!$A$7:$A$506,"MMM YYYY")=A108)*ISNUMBER('Daily Dispatch'!$A$7:$A$506)*'Daily Dispatch'!G7:G506),0)</f>
        <v>0</v>
      </c>
      <c r="H108" s="42" t="n">
        <f aca="false">IFERROR(SUMPRODUCT((TEXT('Daily Dispatch'!$A$7:$A$506,"MMM YYYY")=A108)*ISNUMBER('Daily Dispatch'!$A$7:$A$506)*'Daily Dispatch'!H7:H506),0)</f>
        <v>0</v>
      </c>
      <c r="I108" s="42" t="n">
        <f aca="false">IFERROR(SUMPRODUCT((TEXT('Daily Dispatch'!$A$7:$A$506,"MMM YYYY")=A108)*ISNUMBER('Daily Dispatch'!$A$7:$A$506)*'Daily Dispatch'!I7:I506),0)</f>
        <v>0</v>
      </c>
      <c r="J108" s="42" t="n">
        <f aca="false">IFERROR(SUMPRODUCT((TEXT('Daily Dispatch'!$A$7:$A$506,"MMM YYYY")=A108)*ISNUMBER('Daily Dispatch'!$A$7:$A$506)*'Daily Dispatch'!J7:J506),0)</f>
        <v>0</v>
      </c>
      <c r="K108" s="42" t="n">
        <f aca="false">IFERROR(SUMPRODUCT((TEXT('Daily Dispatch'!$A$7:$A$506,"MMM YYYY")=A108)*ISNUMBER('Daily Dispatch'!$A$7:$A$506)*'Daily Dispatch'!K7:K506),0)</f>
        <v>0</v>
      </c>
      <c r="L108" s="42" t="n">
        <f aca="false">IFERROR(SUMPRODUCT((TEXT('Daily Dispatch'!$A$7:$A$506,"MMM YYYY")=A108)*ISNUMBER('Daily Dispatch'!$A$7:$A$506)*'Daily Dispatch'!L7:L506),0)</f>
        <v>0</v>
      </c>
      <c r="M108" s="42" t="n">
        <f aca="false">IFERROR(SUMPRODUCT((TEXT('Daily Dispatch'!$A$7:$A$506,"MMM YYYY")=A108)*ISNUMBER('Daily Dispatch'!$A$7:$A$506)*'Daily Dispatch'!M7:M506),0)</f>
        <v>0</v>
      </c>
      <c r="N108" s="43" t="n">
        <f aca="false">SUM(B108:M108)</f>
        <v>0</v>
      </c>
    </row>
    <row r="109" customFormat="false" ht="18" hidden="false" customHeight="true" outlineLevel="0" collapsed="false">
      <c r="A109" s="50" t="s">
        <v>74</v>
      </c>
      <c r="B109" s="45" t="n">
        <f aca="false">IFERROR(SUMPRODUCT((TEXT('Daily Dispatch'!$A$7:$A$506,"MMM YYYY")=A109)*ISNUMBER('Daily Dispatch'!$A$7:$A$506)*'Daily Dispatch'!B7:B506),0)</f>
        <v>0</v>
      </c>
      <c r="C109" s="45" t="n">
        <f aca="false">IFERROR(SUMPRODUCT((TEXT('Daily Dispatch'!$A$7:$A$506,"MMM YYYY")=A109)*ISNUMBER('Daily Dispatch'!$A$7:$A$506)*'Daily Dispatch'!C7:C506),0)</f>
        <v>0</v>
      </c>
      <c r="D109" s="45" t="n">
        <f aca="false">IFERROR(SUMPRODUCT((TEXT('Daily Dispatch'!$A$7:$A$506,"MMM YYYY")=A109)*ISNUMBER('Daily Dispatch'!$A$7:$A$506)*'Daily Dispatch'!D7:D506),0)</f>
        <v>0</v>
      </c>
      <c r="E109" s="45" t="n">
        <f aca="false">IFERROR(SUMPRODUCT((TEXT('Daily Dispatch'!$A$7:$A$506,"MMM YYYY")=A109)*ISNUMBER('Daily Dispatch'!$A$7:$A$506)*'Daily Dispatch'!E7:E506),0)</f>
        <v>0</v>
      </c>
      <c r="F109" s="45" t="n">
        <f aca="false">IFERROR(SUMPRODUCT((TEXT('Daily Dispatch'!$A$7:$A$506,"MMM YYYY")=A109)*ISNUMBER('Daily Dispatch'!$A$7:$A$506)*'Daily Dispatch'!F7:F506),0)</f>
        <v>0</v>
      </c>
      <c r="G109" s="45" t="n">
        <f aca="false">IFERROR(SUMPRODUCT((TEXT('Daily Dispatch'!$A$7:$A$506,"MMM YYYY")=A109)*ISNUMBER('Daily Dispatch'!$A$7:$A$506)*'Daily Dispatch'!G7:G506),0)</f>
        <v>0</v>
      </c>
      <c r="H109" s="45" t="n">
        <f aca="false">IFERROR(SUMPRODUCT((TEXT('Daily Dispatch'!$A$7:$A$506,"MMM YYYY")=A109)*ISNUMBER('Daily Dispatch'!$A$7:$A$506)*'Daily Dispatch'!H7:H506),0)</f>
        <v>0</v>
      </c>
      <c r="I109" s="45" t="n">
        <f aca="false">IFERROR(SUMPRODUCT((TEXT('Daily Dispatch'!$A$7:$A$506,"MMM YYYY")=A109)*ISNUMBER('Daily Dispatch'!$A$7:$A$506)*'Daily Dispatch'!I7:I506),0)</f>
        <v>0</v>
      </c>
      <c r="J109" s="45" t="n">
        <f aca="false">IFERROR(SUMPRODUCT((TEXT('Daily Dispatch'!$A$7:$A$506,"MMM YYYY")=A109)*ISNUMBER('Daily Dispatch'!$A$7:$A$506)*'Daily Dispatch'!J7:J506),0)</f>
        <v>0</v>
      </c>
      <c r="K109" s="45" t="n">
        <f aca="false">IFERROR(SUMPRODUCT((TEXT('Daily Dispatch'!$A$7:$A$506,"MMM YYYY")=A109)*ISNUMBER('Daily Dispatch'!$A$7:$A$506)*'Daily Dispatch'!K7:K506),0)</f>
        <v>0</v>
      </c>
      <c r="L109" s="45" t="n">
        <f aca="false">IFERROR(SUMPRODUCT((TEXT('Daily Dispatch'!$A$7:$A$506,"MMM YYYY")=A109)*ISNUMBER('Daily Dispatch'!$A$7:$A$506)*'Daily Dispatch'!L7:L506),0)</f>
        <v>0</v>
      </c>
      <c r="M109" s="45" t="n">
        <f aca="false">IFERROR(SUMPRODUCT((TEXT('Daily Dispatch'!$A$7:$A$506,"MMM YYYY")=A109)*ISNUMBER('Daily Dispatch'!$A$7:$A$506)*'Daily Dispatch'!M7:M506),0)</f>
        <v>0</v>
      </c>
      <c r="N109" s="46" t="n">
        <f aca="false">SUM(B109:M109)</f>
        <v>0</v>
      </c>
    </row>
    <row r="110" customFormat="false" ht="18" hidden="false" customHeight="true" outlineLevel="0" collapsed="false">
      <c r="A110" s="49" t="s">
        <v>75</v>
      </c>
      <c r="B110" s="42" t="n">
        <f aca="false">IFERROR(SUMPRODUCT((TEXT('Daily Dispatch'!$A$7:$A$506,"MMM YYYY")=A110)*ISNUMBER('Daily Dispatch'!$A$7:$A$506)*'Daily Dispatch'!B7:B506),0)</f>
        <v>0</v>
      </c>
      <c r="C110" s="42" t="n">
        <f aca="false">IFERROR(SUMPRODUCT((TEXT('Daily Dispatch'!$A$7:$A$506,"MMM YYYY")=A110)*ISNUMBER('Daily Dispatch'!$A$7:$A$506)*'Daily Dispatch'!C7:C506),0)</f>
        <v>0</v>
      </c>
      <c r="D110" s="42" t="n">
        <f aca="false">IFERROR(SUMPRODUCT((TEXT('Daily Dispatch'!$A$7:$A$506,"MMM YYYY")=A110)*ISNUMBER('Daily Dispatch'!$A$7:$A$506)*'Daily Dispatch'!D7:D506),0)</f>
        <v>0</v>
      </c>
      <c r="E110" s="42" t="n">
        <f aca="false">IFERROR(SUMPRODUCT((TEXT('Daily Dispatch'!$A$7:$A$506,"MMM YYYY")=A110)*ISNUMBER('Daily Dispatch'!$A$7:$A$506)*'Daily Dispatch'!E7:E506),0)</f>
        <v>0</v>
      </c>
      <c r="F110" s="42" t="n">
        <f aca="false">IFERROR(SUMPRODUCT((TEXT('Daily Dispatch'!$A$7:$A$506,"MMM YYYY")=A110)*ISNUMBER('Daily Dispatch'!$A$7:$A$506)*'Daily Dispatch'!F7:F506),0)</f>
        <v>0</v>
      </c>
      <c r="G110" s="42" t="n">
        <f aca="false">IFERROR(SUMPRODUCT((TEXT('Daily Dispatch'!$A$7:$A$506,"MMM YYYY")=A110)*ISNUMBER('Daily Dispatch'!$A$7:$A$506)*'Daily Dispatch'!G7:G506),0)</f>
        <v>0</v>
      </c>
      <c r="H110" s="42" t="n">
        <f aca="false">IFERROR(SUMPRODUCT((TEXT('Daily Dispatch'!$A$7:$A$506,"MMM YYYY")=A110)*ISNUMBER('Daily Dispatch'!$A$7:$A$506)*'Daily Dispatch'!H7:H506),0)</f>
        <v>0</v>
      </c>
      <c r="I110" s="42" t="n">
        <f aca="false">IFERROR(SUMPRODUCT((TEXT('Daily Dispatch'!$A$7:$A$506,"MMM YYYY")=A110)*ISNUMBER('Daily Dispatch'!$A$7:$A$506)*'Daily Dispatch'!I7:I506),0)</f>
        <v>0</v>
      </c>
      <c r="J110" s="42" t="n">
        <f aca="false">IFERROR(SUMPRODUCT((TEXT('Daily Dispatch'!$A$7:$A$506,"MMM YYYY")=A110)*ISNUMBER('Daily Dispatch'!$A$7:$A$506)*'Daily Dispatch'!J7:J506),0)</f>
        <v>0</v>
      </c>
      <c r="K110" s="42" t="n">
        <f aca="false">IFERROR(SUMPRODUCT((TEXT('Daily Dispatch'!$A$7:$A$506,"MMM YYYY")=A110)*ISNUMBER('Daily Dispatch'!$A$7:$A$506)*'Daily Dispatch'!K7:K506),0)</f>
        <v>0</v>
      </c>
      <c r="L110" s="42" t="n">
        <f aca="false">IFERROR(SUMPRODUCT((TEXT('Daily Dispatch'!$A$7:$A$506,"MMM YYYY")=A110)*ISNUMBER('Daily Dispatch'!$A$7:$A$506)*'Daily Dispatch'!L7:L506),0)</f>
        <v>0</v>
      </c>
      <c r="M110" s="42" t="n">
        <f aca="false">IFERROR(SUMPRODUCT((TEXT('Daily Dispatch'!$A$7:$A$506,"MMM YYYY")=A110)*ISNUMBER('Daily Dispatch'!$A$7:$A$506)*'Daily Dispatch'!M7:M506),0)</f>
        <v>0</v>
      </c>
      <c r="N110" s="43" t="n">
        <f aca="false">SUM(B110:M110)</f>
        <v>0</v>
      </c>
    </row>
    <row r="111" customFormat="false" ht="18" hidden="false" customHeight="true" outlineLevel="0" collapsed="false">
      <c r="A111" s="50" t="s">
        <v>76</v>
      </c>
      <c r="B111" s="45" t="n">
        <f aca="false">IFERROR(SUMPRODUCT((TEXT('Daily Dispatch'!$A$7:$A$506,"MMM YYYY")=A111)*ISNUMBER('Daily Dispatch'!$A$7:$A$506)*'Daily Dispatch'!B7:B506),0)</f>
        <v>0</v>
      </c>
      <c r="C111" s="45" t="n">
        <f aca="false">IFERROR(SUMPRODUCT((TEXT('Daily Dispatch'!$A$7:$A$506,"MMM YYYY")=A111)*ISNUMBER('Daily Dispatch'!$A$7:$A$506)*'Daily Dispatch'!C7:C506),0)</f>
        <v>0</v>
      </c>
      <c r="D111" s="45" t="n">
        <f aca="false">IFERROR(SUMPRODUCT((TEXT('Daily Dispatch'!$A$7:$A$506,"MMM YYYY")=A111)*ISNUMBER('Daily Dispatch'!$A$7:$A$506)*'Daily Dispatch'!D7:D506),0)</f>
        <v>0</v>
      </c>
      <c r="E111" s="45" t="n">
        <f aca="false">IFERROR(SUMPRODUCT((TEXT('Daily Dispatch'!$A$7:$A$506,"MMM YYYY")=A111)*ISNUMBER('Daily Dispatch'!$A$7:$A$506)*'Daily Dispatch'!E7:E506),0)</f>
        <v>0</v>
      </c>
      <c r="F111" s="45" t="n">
        <f aca="false">IFERROR(SUMPRODUCT((TEXT('Daily Dispatch'!$A$7:$A$506,"MMM YYYY")=A111)*ISNUMBER('Daily Dispatch'!$A$7:$A$506)*'Daily Dispatch'!F7:F506),0)</f>
        <v>0</v>
      </c>
      <c r="G111" s="45" t="n">
        <f aca="false">IFERROR(SUMPRODUCT((TEXT('Daily Dispatch'!$A$7:$A$506,"MMM YYYY")=A111)*ISNUMBER('Daily Dispatch'!$A$7:$A$506)*'Daily Dispatch'!G7:G506),0)</f>
        <v>0</v>
      </c>
      <c r="H111" s="45" t="n">
        <f aca="false">IFERROR(SUMPRODUCT((TEXT('Daily Dispatch'!$A$7:$A$506,"MMM YYYY")=A111)*ISNUMBER('Daily Dispatch'!$A$7:$A$506)*'Daily Dispatch'!H7:H506),0)</f>
        <v>0</v>
      </c>
      <c r="I111" s="45" t="n">
        <f aca="false">IFERROR(SUMPRODUCT((TEXT('Daily Dispatch'!$A$7:$A$506,"MMM YYYY")=A111)*ISNUMBER('Daily Dispatch'!$A$7:$A$506)*'Daily Dispatch'!I7:I506),0)</f>
        <v>0</v>
      </c>
      <c r="J111" s="45" t="n">
        <f aca="false">IFERROR(SUMPRODUCT((TEXT('Daily Dispatch'!$A$7:$A$506,"MMM YYYY")=A111)*ISNUMBER('Daily Dispatch'!$A$7:$A$506)*'Daily Dispatch'!J7:J506),0)</f>
        <v>0</v>
      </c>
      <c r="K111" s="45" t="n">
        <f aca="false">IFERROR(SUMPRODUCT((TEXT('Daily Dispatch'!$A$7:$A$506,"MMM YYYY")=A111)*ISNUMBER('Daily Dispatch'!$A$7:$A$506)*'Daily Dispatch'!K7:K506),0)</f>
        <v>0</v>
      </c>
      <c r="L111" s="45" t="n">
        <f aca="false">IFERROR(SUMPRODUCT((TEXT('Daily Dispatch'!$A$7:$A$506,"MMM YYYY")=A111)*ISNUMBER('Daily Dispatch'!$A$7:$A$506)*'Daily Dispatch'!L7:L506),0)</f>
        <v>0</v>
      </c>
      <c r="M111" s="45" t="n">
        <f aca="false">IFERROR(SUMPRODUCT((TEXT('Daily Dispatch'!$A$7:$A$506,"MMM YYYY")=A111)*ISNUMBER('Daily Dispatch'!$A$7:$A$506)*'Daily Dispatch'!M7:M506),0)</f>
        <v>0</v>
      </c>
      <c r="N111" s="46" t="n">
        <f aca="false">SUM(B111:M111)</f>
        <v>0</v>
      </c>
    </row>
    <row r="112" customFormat="false" ht="18" hidden="false" customHeight="true" outlineLevel="0" collapsed="false">
      <c r="A112" s="49" t="s">
        <v>77</v>
      </c>
      <c r="B112" s="42" t="n">
        <f aca="false">IFERROR(SUMPRODUCT((TEXT('Daily Dispatch'!$A$7:$A$506,"MMM YYYY")=A112)*ISNUMBER('Daily Dispatch'!$A$7:$A$506)*'Daily Dispatch'!B7:B506),0)</f>
        <v>0</v>
      </c>
      <c r="C112" s="42" t="n">
        <f aca="false">IFERROR(SUMPRODUCT((TEXT('Daily Dispatch'!$A$7:$A$506,"MMM YYYY")=A112)*ISNUMBER('Daily Dispatch'!$A$7:$A$506)*'Daily Dispatch'!C7:C506),0)</f>
        <v>0</v>
      </c>
      <c r="D112" s="42" t="n">
        <f aca="false">IFERROR(SUMPRODUCT((TEXT('Daily Dispatch'!$A$7:$A$506,"MMM YYYY")=A112)*ISNUMBER('Daily Dispatch'!$A$7:$A$506)*'Daily Dispatch'!D7:D506),0)</f>
        <v>0</v>
      </c>
      <c r="E112" s="42" t="n">
        <f aca="false">IFERROR(SUMPRODUCT((TEXT('Daily Dispatch'!$A$7:$A$506,"MMM YYYY")=A112)*ISNUMBER('Daily Dispatch'!$A$7:$A$506)*'Daily Dispatch'!E7:E506),0)</f>
        <v>0</v>
      </c>
      <c r="F112" s="42" t="n">
        <f aca="false">IFERROR(SUMPRODUCT((TEXT('Daily Dispatch'!$A$7:$A$506,"MMM YYYY")=A112)*ISNUMBER('Daily Dispatch'!$A$7:$A$506)*'Daily Dispatch'!F7:F506),0)</f>
        <v>0</v>
      </c>
      <c r="G112" s="42" t="n">
        <f aca="false">IFERROR(SUMPRODUCT((TEXT('Daily Dispatch'!$A$7:$A$506,"MMM YYYY")=A112)*ISNUMBER('Daily Dispatch'!$A$7:$A$506)*'Daily Dispatch'!G7:G506),0)</f>
        <v>0</v>
      </c>
      <c r="H112" s="42" t="n">
        <f aca="false">IFERROR(SUMPRODUCT((TEXT('Daily Dispatch'!$A$7:$A$506,"MMM YYYY")=A112)*ISNUMBER('Daily Dispatch'!$A$7:$A$506)*'Daily Dispatch'!H7:H506),0)</f>
        <v>0</v>
      </c>
      <c r="I112" s="42" t="n">
        <f aca="false">IFERROR(SUMPRODUCT((TEXT('Daily Dispatch'!$A$7:$A$506,"MMM YYYY")=A112)*ISNUMBER('Daily Dispatch'!$A$7:$A$506)*'Daily Dispatch'!I7:I506),0)</f>
        <v>0</v>
      </c>
      <c r="J112" s="42" t="n">
        <f aca="false">IFERROR(SUMPRODUCT((TEXT('Daily Dispatch'!$A$7:$A$506,"MMM YYYY")=A112)*ISNUMBER('Daily Dispatch'!$A$7:$A$506)*'Daily Dispatch'!J7:J506),0)</f>
        <v>0</v>
      </c>
      <c r="K112" s="42" t="n">
        <f aca="false">IFERROR(SUMPRODUCT((TEXT('Daily Dispatch'!$A$7:$A$506,"MMM YYYY")=A112)*ISNUMBER('Daily Dispatch'!$A$7:$A$506)*'Daily Dispatch'!K7:K506),0)</f>
        <v>0</v>
      </c>
      <c r="L112" s="42" t="n">
        <f aca="false">IFERROR(SUMPRODUCT((TEXT('Daily Dispatch'!$A$7:$A$506,"MMM YYYY")=A112)*ISNUMBER('Daily Dispatch'!$A$7:$A$506)*'Daily Dispatch'!L7:L506),0)</f>
        <v>0</v>
      </c>
      <c r="M112" s="42" t="n">
        <f aca="false">IFERROR(SUMPRODUCT((TEXT('Daily Dispatch'!$A$7:$A$506,"MMM YYYY")=A112)*ISNUMBER('Daily Dispatch'!$A$7:$A$506)*'Daily Dispatch'!M7:M506),0)</f>
        <v>0</v>
      </c>
      <c r="N112" s="43" t="n">
        <f aca="false">SUM(B112:M112)</f>
        <v>0</v>
      </c>
    </row>
    <row r="113" customFormat="false" ht="18" hidden="false" customHeight="true" outlineLevel="0" collapsed="false">
      <c r="A113" s="50" t="s">
        <v>78</v>
      </c>
      <c r="B113" s="45" t="n">
        <f aca="false">IFERROR(SUMPRODUCT((TEXT('Daily Dispatch'!$A$7:$A$506,"MMM YYYY")=A113)*ISNUMBER('Daily Dispatch'!$A$7:$A$506)*'Daily Dispatch'!B7:B506),0)</f>
        <v>0</v>
      </c>
      <c r="C113" s="45" t="n">
        <f aca="false">IFERROR(SUMPRODUCT((TEXT('Daily Dispatch'!$A$7:$A$506,"MMM YYYY")=A113)*ISNUMBER('Daily Dispatch'!$A$7:$A$506)*'Daily Dispatch'!C7:C506),0)</f>
        <v>0</v>
      </c>
      <c r="D113" s="45" t="n">
        <f aca="false">IFERROR(SUMPRODUCT((TEXT('Daily Dispatch'!$A$7:$A$506,"MMM YYYY")=A113)*ISNUMBER('Daily Dispatch'!$A$7:$A$506)*'Daily Dispatch'!D7:D506),0)</f>
        <v>0</v>
      </c>
      <c r="E113" s="45" t="n">
        <f aca="false">IFERROR(SUMPRODUCT((TEXT('Daily Dispatch'!$A$7:$A$506,"MMM YYYY")=A113)*ISNUMBER('Daily Dispatch'!$A$7:$A$506)*'Daily Dispatch'!E7:E506),0)</f>
        <v>0</v>
      </c>
      <c r="F113" s="45" t="n">
        <f aca="false">IFERROR(SUMPRODUCT((TEXT('Daily Dispatch'!$A$7:$A$506,"MMM YYYY")=A113)*ISNUMBER('Daily Dispatch'!$A$7:$A$506)*'Daily Dispatch'!F7:F506),0)</f>
        <v>0</v>
      </c>
      <c r="G113" s="45" t="n">
        <f aca="false">IFERROR(SUMPRODUCT((TEXT('Daily Dispatch'!$A$7:$A$506,"MMM YYYY")=A113)*ISNUMBER('Daily Dispatch'!$A$7:$A$506)*'Daily Dispatch'!G7:G506),0)</f>
        <v>0</v>
      </c>
      <c r="H113" s="45" t="n">
        <f aca="false">IFERROR(SUMPRODUCT((TEXT('Daily Dispatch'!$A$7:$A$506,"MMM YYYY")=A113)*ISNUMBER('Daily Dispatch'!$A$7:$A$506)*'Daily Dispatch'!H7:H506),0)</f>
        <v>0</v>
      </c>
      <c r="I113" s="45" t="n">
        <f aca="false">IFERROR(SUMPRODUCT((TEXT('Daily Dispatch'!$A$7:$A$506,"MMM YYYY")=A113)*ISNUMBER('Daily Dispatch'!$A$7:$A$506)*'Daily Dispatch'!I7:I506),0)</f>
        <v>0</v>
      </c>
      <c r="J113" s="45" t="n">
        <f aca="false">IFERROR(SUMPRODUCT((TEXT('Daily Dispatch'!$A$7:$A$506,"MMM YYYY")=A113)*ISNUMBER('Daily Dispatch'!$A$7:$A$506)*'Daily Dispatch'!J7:J506),0)</f>
        <v>0</v>
      </c>
      <c r="K113" s="45" t="n">
        <f aca="false">IFERROR(SUMPRODUCT((TEXT('Daily Dispatch'!$A$7:$A$506,"MMM YYYY")=A113)*ISNUMBER('Daily Dispatch'!$A$7:$A$506)*'Daily Dispatch'!K7:K506),0)</f>
        <v>0</v>
      </c>
      <c r="L113" s="45" t="n">
        <f aca="false">IFERROR(SUMPRODUCT((TEXT('Daily Dispatch'!$A$7:$A$506,"MMM YYYY")=A113)*ISNUMBER('Daily Dispatch'!$A$7:$A$506)*'Daily Dispatch'!L7:L506),0)</f>
        <v>0</v>
      </c>
      <c r="M113" s="45" t="n">
        <f aca="false">IFERROR(SUMPRODUCT((TEXT('Daily Dispatch'!$A$7:$A$506,"MMM YYYY")=A113)*ISNUMBER('Daily Dispatch'!$A$7:$A$506)*'Daily Dispatch'!M7:M506),0)</f>
        <v>0</v>
      </c>
      <c r="N113" s="46" t="n">
        <f aca="false">SUM(B113:M113)</f>
        <v>0</v>
      </c>
    </row>
    <row r="114" customFormat="false" ht="18" hidden="false" customHeight="true" outlineLevel="0" collapsed="false">
      <c r="A114" s="49" t="s">
        <v>79</v>
      </c>
      <c r="B114" s="42" t="n">
        <f aca="false">IFERROR(SUMPRODUCT((TEXT('Daily Dispatch'!$A$7:$A$506,"MMM YYYY")=A114)*ISNUMBER('Daily Dispatch'!$A$7:$A$506)*'Daily Dispatch'!B7:B506),0)</f>
        <v>0</v>
      </c>
      <c r="C114" s="42" t="n">
        <f aca="false">IFERROR(SUMPRODUCT((TEXT('Daily Dispatch'!$A$7:$A$506,"MMM YYYY")=A114)*ISNUMBER('Daily Dispatch'!$A$7:$A$506)*'Daily Dispatch'!C7:C506),0)</f>
        <v>0</v>
      </c>
      <c r="D114" s="42" t="n">
        <f aca="false">IFERROR(SUMPRODUCT((TEXT('Daily Dispatch'!$A$7:$A$506,"MMM YYYY")=A114)*ISNUMBER('Daily Dispatch'!$A$7:$A$506)*'Daily Dispatch'!D7:D506),0)</f>
        <v>0</v>
      </c>
      <c r="E114" s="42" t="n">
        <f aca="false">IFERROR(SUMPRODUCT((TEXT('Daily Dispatch'!$A$7:$A$506,"MMM YYYY")=A114)*ISNUMBER('Daily Dispatch'!$A$7:$A$506)*'Daily Dispatch'!E7:E506),0)</f>
        <v>0</v>
      </c>
      <c r="F114" s="42" t="n">
        <f aca="false">IFERROR(SUMPRODUCT((TEXT('Daily Dispatch'!$A$7:$A$506,"MMM YYYY")=A114)*ISNUMBER('Daily Dispatch'!$A$7:$A$506)*'Daily Dispatch'!F7:F506),0)</f>
        <v>0</v>
      </c>
      <c r="G114" s="42" t="n">
        <f aca="false">IFERROR(SUMPRODUCT((TEXT('Daily Dispatch'!$A$7:$A$506,"MMM YYYY")=A114)*ISNUMBER('Daily Dispatch'!$A$7:$A$506)*'Daily Dispatch'!G7:G506),0)</f>
        <v>0</v>
      </c>
      <c r="H114" s="42" t="n">
        <f aca="false">IFERROR(SUMPRODUCT((TEXT('Daily Dispatch'!$A$7:$A$506,"MMM YYYY")=A114)*ISNUMBER('Daily Dispatch'!$A$7:$A$506)*'Daily Dispatch'!H7:H506),0)</f>
        <v>0</v>
      </c>
      <c r="I114" s="42" t="n">
        <f aca="false">IFERROR(SUMPRODUCT((TEXT('Daily Dispatch'!$A$7:$A$506,"MMM YYYY")=A114)*ISNUMBER('Daily Dispatch'!$A$7:$A$506)*'Daily Dispatch'!I7:I506),0)</f>
        <v>0</v>
      </c>
      <c r="J114" s="42" t="n">
        <f aca="false">IFERROR(SUMPRODUCT((TEXT('Daily Dispatch'!$A$7:$A$506,"MMM YYYY")=A114)*ISNUMBER('Daily Dispatch'!$A$7:$A$506)*'Daily Dispatch'!J7:J506),0)</f>
        <v>0</v>
      </c>
      <c r="K114" s="42" t="n">
        <f aca="false">IFERROR(SUMPRODUCT((TEXT('Daily Dispatch'!$A$7:$A$506,"MMM YYYY")=A114)*ISNUMBER('Daily Dispatch'!$A$7:$A$506)*'Daily Dispatch'!K7:K506),0)</f>
        <v>0</v>
      </c>
      <c r="L114" s="42" t="n">
        <f aca="false">IFERROR(SUMPRODUCT((TEXT('Daily Dispatch'!$A$7:$A$506,"MMM YYYY")=A114)*ISNUMBER('Daily Dispatch'!$A$7:$A$506)*'Daily Dispatch'!L7:L506),0)</f>
        <v>0</v>
      </c>
      <c r="M114" s="42" t="n">
        <f aca="false">IFERROR(SUMPRODUCT((TEXT('Daily Dispatch'!$A$7:$A$506,"MMM YYYY")=A114)*ISNUMBER('Daily Dispatch'!$A$7:$A$506)*'Daily Dispatch'!M7:M506),0)</f>
        <v>0</v>
      </c>
      <c r="N114" s="43" t="n">
        <f aca="false">SUM(B114:M114)</f>
        <v>0</v>
      </c>
    </row>
    <row r="115" customFormat="false" ht="18" hidden="false" customHeight="true" outlineLevel="0" collapsed="false">
      <c r="A115" s="50" t="s">
        <v>80</v>
      </c>
      <c r="B115" s="45" t="n">
        <f aca="false">IFERROR(SUMPRODUCT((TEXT('Daily Dispatch'!$A$7:$A$506,"MMM YYYY")=A115)*ISNUMBER('Daily Dispatch'!$A$7:$A$506)*'Daily Dispatch'!B7:B506),0)</f>
        <v>0</v>
      </c>
      <c r="C115" s="45" t="n">
        <f aca="false">IFERROR(SUMPRODUCT((TEXT('Daily Dispatch'!$A$7:$A$506,"MMM YYYY")=A115)*ISNUMBER('Daily Dispatch'!$A$7:$A$506)*'Daily Dispatch'!C7:C506),0)</f>
        <v>0</v>
      </c>
      <c r="D115" s="45" t="n">
        <f aca="false">IFERROR(SUMPRODUCT((TEXT('Daily Dispatch'!$A$7:$A$506,"MMM YYYY")=A115)*ISNUMBER('Daily Dispatch'!$A$7:$A$506)*'Daily Dispatch'!D7:D506),0)</f>
        <v>0</v>
      </c>
      <c r="E115" s="45" t="n">
        <f aca="false">IFERROR(SUMPRODUCT((TEXT('Daily Dispatch'!$A$7:$A$506,"MMM YYYY")=A115)*ISNUMBER('Daily Dispatch'!$A$7:$A$506)*'Daily Dispatch'!E7:E506),0)</f>
        <v>0</v>
      </c>
      <c r="F115" s="45" t="n">
        <f aca="false">IFERROR(SUMPRODUCT((TEXT('Daily Dispatch'!$A$7:$A$506,"MMM YYYY")=A115)*ISNUMBER('Daily Dispatch'!$A$7:$A$506)*'Daily Dispatch'!F7:F506),0)</f>
        <v>0</v>
      </c>
      <c r="G115" s="45" t="n">
        <f aca="false">IFERROR(SUMPRODUCT((TEXT('Daily Dispatch'!$A$7:$A$506,"MMM YYYY")=A115)*ISNUMBER('Daily Dispatch'!$A$7:$A$506)*'Daily Dispatch'!G7:G506),0)</f>
        <v>0</v>
      </c>
      <c r="H115" s="45" t="n">
        <f aca="false">IFERROR(SUMPRODUCT((TEXT('Daily Dispatch'!$A$7:$A$506,"MMM YYYY")=A115)*ISNUMBER('Daily Dispatch'!$A$7:$A$506)*'Daily Dispatch'!H7:H506),0)</f>
        <v>0</v>
      </c>
      <c r="I115" s="45" t="n">
        <f aca="false">IFERROR(SUMPRODUCT((TEXT('Daily Dispatch'!$A$7:$A$506,"MMM YYYY")=A115)*ISNUMBER('Daily Dispatch'!$A$7:$A$506)*'Daily Dispatch'!I7:I506),0)</f>
        <v>0</v>
      </c>
      <c r="J115" s="45" t="n">
        <f aca="false">IFERROR(SUMPRODUCT((TEXT('Daily Dispatch'!$A$7:$A$506,"MMM YYYY")=A115)*ISNUMBER('Daily Dispatch'!$A$7:$A$506)*'Daily Dispatch'!J7:J506),0)</f>
        <v>0</v>
      </c>
      <c r="K115" s="45" t="n">
        <f aca="false">IFERROR(SUMPRODUCT((TEXT('Daily Dispatch'!$A$7:$A$506,"MMM YYYY")=A115)*ISNUMBER('Daily Dispatch'!$A$7:$A$506)*'Daily Dispatch'!K7:K506),0)</f>
        <v>0</v>
      </c>
      <c r="L115" s="45" t="n">
        <f aca="false">IFERROR(SUMPRODUCT((TEXT('Daily Dispatch'!$A$7:$A$506,"MMM YYYY")=A115)*ISNUMBER('Daily Dispatch'!$A$7:$A$506)*'Daily Dispatch'!L7:L506),0)</f>
        <v>0</v>
      </c>
      <c r="M115" s="45" t="n">
        <f aca="false">IFERROR(SUMPRODUCT((TEXT('Daily Dispatch'!$A$7:$A$506,"MMM YYYY")=A115)*ISNUMBER('Daily Dispatch'!$A$7:$A$506)*'Daily Dispatch'!M7:M506),0)</f>
        <v>0</v>
      </c>
      <c r="N115" s="46" t="n">
        <f aca="false">SUM(B115:M115)</f>
        <v>0</v>
      </c>
    </row>
    <row r="116" customFormat="false" ht="13.8" hidden="false" customHeight="false" outlineLevel="0" collapsed="false"/>
    <row r="117" customFormat="false" ht="4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9.5" hidden="false" customHeight="true" outlineLevel="0" collapsed="false">
      <c r="A118" s="24" t="s">
        <v>27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</sheetData>
  <mergeCells count="11">
    <mergeCell ref="A1:N1"/>
    <mergeCell ref="A2:N2"/>
    <mergeCell ref="A3:N3"/>
    <mergeCell ref="A4:E4"/>
    <mergeCell ref="F4:I4"/>
    <mergeCell ref="J4:N4"/>
    <mergeCell ref="A7:N7"/>
    <mergeCell ref="A70:N70"/>
    <mergeCell ref="A99:N99"/>
    <mergeCell ref="A117:N117"/>
    <mergeCell ref="A118:N1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3C1D"/>
    <pageSetUpPr fitToPage="false"/>
  </sheetPr>
  <dimension ref="A1:S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13" min="2" style="0" width="9"/>
    <col collapsed="false" customWidth="true" hidden="false" outlineLevel="0" max="19" min="14" style="0" width="11"/>
  </cols>
  <sheetData>
    <row r="1" customFormat="false" ht="36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25.5" hidden="false" customHeight="true" outlineLevel="0" collapsed="false">
      <c r="A4" s="51" t="s">
        <v>82</v>
      </c>
      <c r="B4" s="51"/>
      <c r="C4" s="51"/>
      <c r="D4" s="51"/>
      <c r="E4" s="51"/>
      <c r="F4" s="6" t="s">
        <v>83</v>
      </c>
      <c r="G4" s="6"/>
      <c r="H4" s="6"/>
      <c r="I4" s="6"/>
      <c r="J4" s="6"/>
      <c r="K4" s="7" t="s">
        <v>84</v>
      </c>
      <c r="L4" s="7"/>
      <c r="M4" s="7"/>
      <c r="N4" s="7"/>
      <c r="O4" s="7"/>
      <c r="P4" s="7"/>
      <c r="Q4" s="7"/>
    </row>
    <row r="5" customFormat="false" ht="3.75" hidden="false" customHeight="true" outlineLevel="0" collapsed="false"/>
    <row r="6" customFormat="false" ht="36" hidden="false" customHeight="true" outlineLevel="0" collapsed="false">
      <c r="A6" s="8" t="s">
        <v>85</v>
      </c>
      <c r="B6" s="52" t="s">
        <v>86</v>
      </c>
      <c r="C6" s="52" t="s">
        <v>87</v>
      </c>
      <c r="D6" s="52" t="s">
        <v>88</v>
      </c>
      <c r="E6" s="52" t="s">
        <v>89</v>
      </c>
      <c r="F6" s="52" t="s">
        <v>90</v>
      </c>
      <c r="G6" s="52" t="s">
        <v>91</v>
      </c>
      <c r="H6" s="52" t="s">
        <v>92</v>
      </c>
      <c r="I6" s="52" t="s">
        <v>92</v>
      </c>
      <c r="J6" s="52" t="s">
        <v>92</v>
      </c>
      <c r="K6" s="52" t="s">
        <v>93</v>
      </c>
      <c r="L6" s="52" t="s">
        <v>94</v>
      </c>
      <c r="M6" s="52" t="s">
        <v>95</v>
      </c>
      <c r="N6" s="52" t="s">
        <v>96</v>
      </c>
      <c r="O6" s="10" t="s">
        <v>97</v>
      </c>
      <c r="P6" s="11" t="s">
        <v>98</v>
      </c>
      <c r="Q6" s="11" t="s">
        <v>99</v>
      </c>
      <c r="R6" s="11" t="s">
        <v>100</v>
      </c>
      <c r="S6" s="26" t="s">
        <v>42</v>
      </c>
    </row>
    <row r="7" customFormat="false" ht="18" hidden="false" customHeight="true" outlineLevel="0" collapsed="false">
      <c r="A7" s="18" t="s">
        <v>65</v>
      </c>
      <c r="B7" s="53" t="n">
        <f aca="false">IFERROR(SUMPRODUCT((TEXT('RTO Log'!$A$8:$A$508,"MMM YYYY")=A7)*ISNUMBER('RTO Log'!$A$8:$A$508)*'RTO Log'!B8:B508),0)</f>
        <v>0</v>
      </c>
      <c r="C7" s="53" t="n">
        <f aca="false">IFERROR(SUMPRODUCT((TEXT('RTO Log'!$A$8:$A$508,"MMM YYYY")=A7)*ISNUMBER('RTO Log'!$A$8:$A$508)*'RTO Log'!E8:E508),0)</f>
        <v>0</v>
      </c>
      <c r="D7" s="53" t="n">
        <f aca="false">IFERROR(SUMPRODUCT((TEXT('RTO Log'!$A$8:$A$508,"MMM YYYY")=A7)*ISNUMBER('RTO Log'!$A$8:$A$508)*'RTO Log'!H8:H508),0)</f>
        <v>0</v>
      </c>
      <c r="E7" s="53" t="n">
        <f aca="false">IFERROR(SUMPRODUCT((TEXT('RTO Log'!$A$8:$A$508,"MMM YYYY")=A7)*ISNUMBER('RTO Log'!$A$8:$A$508)*'RTO Log'!K8:K508),0)</f>
        <v>0</v>
      </c>
      <c r="F7" s="53" t="n">
        <f aca="false">IFERROR(SUMPRODUCT((TEXT('RTO Log'!$A$8:$A$508,"MMM YYYY")=A7)*ISNUMBER('RTO Log'!$A$8:$A$508)*'RTO Log'!N8:N508),0)</f>
        <v>0</v>
      </c>
      <c r="G7" s="53" t="n">
        <f aca="false">IFERROR(SUMPRODUCT((TEXT('RTO Log'!$A$8:$A$508,"MMM YYYY")=A7)*ISNUMBER('RTO Log'!$A$8:$A$508)*'RTO Log'!Q8:Q508),0)</f>
        <v>0</v>
      </c>
      <c r="H7" s="53" t="n">
        <f aca="false">IFERROR(SUMPRODUCT((TEXT('RTO Log'!$A$8:$A$508,"MMM YYYY")=A7)*ISNUMBER('RTO Log'!$A$8:$A$508)*'RTO Log'!T8:T508),0)</f>
        <v>0</v>
      </c>
      <c r="I7" s="53" t="n">
        <f aca="false">IFERROR(SUMPRODUCT((TEXT('RTO Log'!$A$8:$A$508,"MMM YYYY")=A7)*ISNUMBER('RTO Log'!$A$8:$A$508)*'RTO Log'!W8:W508),0)</f>
        <v>0</v>
      </c>
      <c r="J7" s="53" t="n">
        <f aca="false">IFERROR(SUMPRODUCT((TEXT('RTO Log'!$A$8:$A$508,"MMM YYYY")=A7)*ISNUMBER('RTO Log'!$A$8:$A$508)*'RTO Log'!Z8:Z508),0)</f>
        <v>0</v>
      </c>
      <c r="K7" s="53" t="n">
        <f aca="false">IFERROR(SUMPRODUCT((TEXT('RTO Log'!$A$8:$A$508,"MMM YYYY")=A7)*ISNUMBER('RTO Log'!$A$8:$A$508)*'RTO Log'!AC8:AC508),0)</f>
        <v>0</v>
      </c>
      <c r="L7" s="53" t="n">
        <f aca="false">IFERROR(SUMPRODUCT((TEXT('RTO Log'!$A$8:$A$508,"MMM YYYY")=A7)*ISNUMBER('RTO Log'!$A$8:$A$508)*'RTO Log'!AF8:AF508),0)</f>
        <v>0</v>
      </c>
      <c r="M7" s="53" t="n">
        <f aca="false">IFERROR(SUMPRODUCT((TEXT('RTO Log'!$A$8:$A$508,"MMM YYYY")=A7)*ISNUMBER('RTO Log'!$A$8:$A$508)*'RTO Log'!AI8:AI508),0)</f>
        <v>0</v>
      </c>
      <c r="N7" s="54" t="n">
        <f aca="false">SUM(B7:M7)</f>
        <v>0</v>
      </c>
      <c r="O7" s="16" t="e">
        <f aca="false">IFERROR(SUMPRODUCT((TEXT('RTO Log'!$A$8:$A$508,"MMM YYYY")=A7)*ISNUMBER('RTO Log'!$A$8:$A$508)*'RTO Log'!C8:C508),0)+IFERROR(SUMPRODUCT((TEXT('RTO Log'!$A$8:$A$508,"MMM YYYY")=A7)*ISNUMBER('rto log' $)))))))))))))))</f>
        <v>#VALUE!</v>
      </c>
      <c r="P7" s="33" t="e">
        <f aca="false">N7+O7</f>
        <v>#VALUE!</v>
      </c>
      <c r="Q7" s="33" t="e">
        <f aca="false">IFERROR(SUMPRODUCT((TEXT('Daily Dispatch'!$A$7:$A$506,"MMM YYYY")=A7)*ISNUMBER('Daily Dispatch'!$A$7:$A$506)*'Daily Dispatch'!B7:B506),0)+IFERROR(SUMPRODUCT((TEXT('Daily Dispatch'!$A$7:$A$506,"mmm yyy))))))))))))))))))))</f>
        <v>#VALUE!</v>
      </c>
      <c r="R7" s="55" t="str">
        <f aca="false">IFERROR(IF(Q7=0,"—",TEXT(ROUND(P7/Q7*100,1),"0.0")&amp;"%"),"—")</f>
        <v>—</v>
      </c>
      <c r="S7" s="56" t="str">
        <f aca="false">IFERROR(IF(Q7=0,"—",TEXT(ROUND(O7/Q7*100,1),"0.0")&amp;"%"),"—")</f>
        <v>—</v>
      </c>
    </row>
    <row r="8" customFormat="false" ht="18" hidden="false" customHeight="true" outlineLevel="0" collapsed="false">
      <c r="A8" s="22" t="s">
        <v>66</v>
      </c>
      <c r="B8" s="57" t="n">
        <f aca="false">IFERROR(SUMPRODUCT((TEXT('RTO Log'!$A$8:$A$508,"MMM YYYY")=A8)*ISNUMBER('RTO Log'!$A$8:$A$508)*'RTO Log'!B8:B508),0)</f>
        <v>0</v>
      </c>
      <c r="C8" s="57" t="n">
        <f aca="false">IFERROR(SUMPRODUCT((TEXT('RTO Log'!$A$8:$A$508,"MMM YYYY")=A8)*ISNUMBER('RTO Log'!$A$8:$A$508)*'RTO Log'!E8:E508),0)</f>
        <v>0</v>
      </c>
      <c r="D8" s="57" t="n">
        <f aca="false">IFERROR(SUMPRODUCT((TEXT('RTO Log'!$A$8:$A$508,"MMM YYYY")=A8)*ISNUMBER('RTO Log'!$A$8:$A$508)*'RTO Log'!H8:H508),0)</f>
        <v>0</v>
      </c>
      <c r="E8" s="57" t="n">
        <f aca="false">IFERROR(SUMPRODUCT((TEXT('RTO Log'!$A$8:$A$508,"MMM YYYY")=A8)*ISNUMBER('RTO Log'!$A$8:$A$508)*'RTO Log'!K8:K508),0)</f>
        <v>0</v>
      </c>
      <c r="F8" s="57" t="n">
        <f aca="false">IFERROR(SUMPRODUCT((TEXT('RTO Log'!$A$8:$A$508,"MMM YYYY")=A8)*ISNUMBER('RTO Log'!$A$8:$A$508)*'RTO Log'!N8:N508),0)</f>
        <v>0</v>
      </c>
      <c r="G8" s="57" t="n">
        <f aca="false">IFERROR(SUMPRODUCT((TEXT('RTO Log'!$A$8:$A$508,"MMM YYYY")=A8)*ISNUMBER('RTO Log'!$A$8:$A$508)*'RTO Log'!Q8:Q508),0)</f>
        <v>0</v>
      </c>
      <c r="H8" s="57" t="n">
        <f aca="false">IFERROR(SUMPRODUCT((TEXT('RTO Log'!$A$8:$A$508,"MMM YYYY")=A8)*ISNUMBER('RTO Log'!$A$8:$A$508)*'RTO Log'!T8:T508),0)</f>
        <v>0</v>
      </c>
      <c r="I8" s="57" t="n">
        <f aca="false">IFERROR(SUMPRODUCT((TEXT('RTO Log'!$A$8:$A$508,"MMM YYYY")=A8)*ISNUMBER('RTO Log'!$A$8:$A$508)*'RTO Log'!W8:W508),0)</f>
        <v>0</v>
      </c>
      <c r="J8" s="57" t="n">
        <f aca="false">IFERROR(SUMPRODUCT((TEXT('RTO Log'!$A$8:$A$508,"MMM YYYY")=A8)*ISNUMBER('RTO Log'!$A$8:$A$508)*'RTO Log'!Z8:Z508),0)</f>
        <v>0</v>
      </c>
      <c r="K8" s="57" t="n">
        <f aca="false">IFERROR(SUMPRODUCT((TEXT('RTO Log'!$A$8:$A$508,"MMM YYYY")=A8)*ISNUMBER('RTO Log'!$A$8:$A$508)*'RTO Log'!AC8:AC508),0)</f>
        <v>0</v>
      </c>
      <c r="L8" s="57" t="n">
        <f aca="false">IFERROR(SUMPRODUCT((TEXT('RTO Log'!$A$8:$A$508,"MMM YYYY")=A8)*ISNUMBER('RTO Log'!$A$8:$A$508)*'RTO Log'!AF8:AF508),0)</f>
        <v>0</v>
      </c>
      <c r="M8" s="57" t="n">
        <f aca="false">IFERROR(SUMPRODUCT((TEXT('RTO Log'!$A$8:$A$508,"MMM YYYY")=A8)*ISNUMBER('RTO Log'!$A$8:$A$508)*'RTO Log'!AI8:AI508),0)</f>
        <v>0</v>
      </c>
      <c r="N8" s="54" t="n">
        <f aca="false">SUM(B8:M8)</f>
        <v>0</v>
      </c>
      <c r="O8" s="16" t="e">
        <f aca="false">IFERROR(SUMPRODUCT((TEXT('RTO Log'!$A$8:$A$508,"MMM YYYY")=A8)*ISNUMBER('RTO Log'!$A$8:$A$508)*'RTO Log'!C8:C508),0)+IFERROR(SUMPRODUCT((TEXT('RTO Log'!$A$8:$A$508,"MMM YYYY")=A8)*ISNUMBER('rto log' $)))))))))))))))</f>
        <v>#VALUE!</v>
      </c>
      <c r="P8" s="33" t="e">
        <f aca="false">N8+O8</f>
        <v>#VALUE!</v>
      </c>
      <c r="Q8" s="33" t="e">
        <f aca="false">IFERROR(SUMPRODUCT((TEXT('Daily Dispatch'!$A$7:$A$506,"MMM YYYY")=A8)*ISNUMBER('Daily Dispatch'!$A$7:$A$506)*'Daily Dispatch'!B7:B506),0)+IFERROR(SUMPRODUCT((TEXT('Daily Dispatch'!$A$7:$A$506,"mmm yyy))))))))))))))))))))</f>
        <v>#VALUE!</v>
      </c>
      <c r="R8" s="55" t="str">
        <f aca="false">IFERROR(IF(Q8=0,"—",TEXT(ROUND(P8/Q8*100,1),"0.0")&amp;"%"),"—")</f>
        <v>—</v>
      </c>
      <c r="S8" s="56" t="str">
        <f aca="false">IFERROR(IF(Q8=0,"—",TEXT(ROUND(O8/Q8*100,1),"0.0")&amp;"%"),"—")</f>
        <v>—</v>
      </c>
    </row>
    <row r="9" customFormat="false" ht="18" hidden="false" customHeight="true" outlineLevel="0" collapsed="false">
      <c r="A9" s="18" t="s">
        <v>67</v>
      </c>
      <c r="B9" s="53" t="n">
        <f aca="false">IFERROR(SUMPRODUCT((TEXT('RTO Log'!$A$8:$A$508,"MMM YYYY")=A9)*ISNUMBER('RTO Log'!$A$8:$A$508)*'RTO Log'!B8:B508),0)</f>
        <v>0</v>
      </c>
      <c r="C9" s="53" t="n">
        <f aca="false">IFERROR(SUMPRODUCT((TEXT('RTO Log'!$A$8:$A$508,"MMM YYYY")=A9)*ISNUMBER('RTO Log'!$A$8:$A$508)*'RTO Log'!E8:E508),0)</f>
        <v>0</v>
      </c>
      <c r="D9" s="53" t="n">
        <f aca="false">IFERROR(SUMPRODUCT((TEXT('RTO Log'!$A$8:$A$508,"MMM YYYY")=A9)*ISNUMBER('RTO Log'!$A$8:$A$508)*'RTO Log'!H8:H508),0)</f>
        <v>0</v>
      </c>
      <c r="E9" s="53" t="n">
        <f aca="false">IFERROR(SUMPRODUCT((TEXT('RTO Log'!$A$8:$A$508,"MMM YYYY")=A9)*ISNUMBER('RTO Log'!$A$8:$A$508)*'RTO Log'!K8:K508),0)</f>
        <v>0</v>
      </c>
      <c r="F9" s="53" t="n">
        <f aca="false">IFERROR(SUMPRODUCT((TEXT('RTO Log'!$A$8:$A$508,"MMM YYYY")=A9)*ISNUMBER('RTO Log'!$A$8:$A$508)*'RTO Log'!N8:N508),0)</f>
        <v>0</v>
      </c>
      <c r="G9" s="53" t="n">
        <f aca="false">IFERROR(SUMPRODUCT((TEXT('RTO Log'!$A$8:$A$508,"MMM YYYY")=A9)*ISNUMBER('RTO Log'!$A$8:$A$508)*'RTO Log'!Q8:Q508),0)</f>
        <v>0</v>
      </c>
      <c r="H9" s="53" t="n">
        <f aca="false">IFERROR(SUMPRODUCT((TEXT('RTO Log'!$A$8:$A$508,"MMM YYYY")=A9)*ISNUMBER('RTO Log'!$A$8:$A$508)*'RTO Log'!T8:T508),0)</f>
        <v>0</v>
      </c>
      <c r="I9" s="53" t="n">
        <f aca="false">IFERROR(SUMPRODUCT((TEXT('RTO Log'!$A$8:$A$508,"MMM YYYY")=A9)*ISNUMBER('RTO Log'!$A$8:$A$508)*'RTO Log'!W8:W508),0)</f>
        <v>0</v>
      </c>
      <c r="J9" s="53" t="n">
        <f aca="false">IFERROR(SUMPRODUCT((TEXT('RTO Log'!$A$8:$A$508,"MMM YYYY")=A9)*ISNUMBER('RTO Log'!$A$8:$A$508)*'RTO Log'!Z8:Z508),0)</f>
        <v>0</v>
      </c>
      <c r="K9" s="53" t="n">
        <f aca="false">IFERROR(SUMPRODUCT((TEXT('RTO Log'!$A$8:$A$508,"MMM YYYY")=A9)*ISNUMBER('RTO Log'!$A$8:$A$508)*'RTO Log'!AC8:AC508),0)</f>
        <v>0</v>
      </c>
      <c r="L9" s="53" t="n">
        <f aca="false">IFERROR(SUMPRODUCT((TEXT('RTO Log'!$A$8:$A$508,"MMM YYYY")=A9)*ISNUMBER('RTO Log'!$A$8:$A$508)*'RTO Log'!AF8:AF508),0)</f>
        <v>0</v>
      </c>
      <c r="M9" s="53" t="n">
        <f aca="false">IFERROR(SUMPRODUCT((TEXT('RTO Log'!$A$8:$A$508,"MMM YYYY")=A9)*ISNUMBER('RTO Log'!$A$8:$A$508)*'RTO Log'!AI8:AI508),0)</f>
        <v>0</v>
      </c>
      <c r="N9" s="54" t="n">
        <f aca="false">SUM(B9:M9)</f>
        <v>0</v>
      </c>
      <c r="O9" s="16" t="e">
        <f aca="false">IFERROR(SUMPRODUCT((TEXT('RTO Log'!$A$8:$A$508,"MMM YYYY")=A9)*ISNUMBER('RTO Log'!$A$8:$A$508)*'RTO Log'!C8:C508),0)+IFERROR(SUMPRODUCT((TEXT('RTO Log'!$A$8:$A$508,"MMM YYYY")=A9)*ISNUMBER('rto log' $)))))))))))))))</f>
        <v>#VALUE!</v>
      </c>
      <c r="P9" s="33" t="e">
        <f aca="false">N9+O9</f>
        <v>#VALUE!</v>
      </c>
      <c r="Q9" s="33" t="e">
        <f aca="false">IFERROR(SUMPRODUCT((TEXT('Daily Dispatch'!$A$7:$A$506,"MMM YYYY")=A9)*ISNUMBER('Daily Dispatch'!$A$7:$A$506)*'Daily Dispatch'!B7:B506),0)+IFERROR(SUMPRODUCT((TEXT('Daily Dispatch'!$A$7:$A$506,"mmm yyy))))))))))))))))))))</f>
        <v>#VALUE!</v>
      </c>
      <c r="R9" s="55" t="str">
        <f aca="false">IFERROR(IF(Q9=0,"—",TEXT(ROUND(P9/Q9*100,1),"0.0")&amp;"%"),"—")</f>
        <v>—</v>
      </c>
      <c r="S9" s="56" t="str">
        <f aca="false">IFERROR(IF(Q9=0,"—",TEXT(ROUND(O9/Q9*100,1),"0.0")&amp;"%"),"—")</f>
        <v>—</v>
      </c>
    </row>
    <row r="10" customFormat="false" ht="18" hidden="false" customHeight="true" outlineLevel="0" collapsed="false">
      <c r="A10" s="22" t="s">
        <v>68</v>
      </c>
      <c r="B10" s="57" t="n">
        <f aca="false">IFERROR(SUMPRODUCT((TEXT('RTO Log'!$A$8:$A$508,"MMM YYYY")=A10)*ISNUMBER('RTO Log'!$A$8:$A$508)*'RTO Log'!B8:B508),0)</f>
        <v>0</v>
      </c>
      <c r="C10" s="57" t="n">
        <f aca="false">IFERROR(SUMPRODUCT((TEXT('RTO Log'!$A$8:$A$508,"MMM YYYY")=A10)*ISNUMBER('RTO Log'!$A$8:$A$508)*'RTO Log'!E8:E508),0)</f>
        <v>0</v>
      </c>
      <c r="D10" s="57" t="n">
        <f aca="false">IFERROR(SUMPRODUCT((TEXT('RTO Log'!$A$8:$A$508,"MMM YYYY")=A10)*ISNUMBER('RTO Log'!$A$8:$A$508)*'RTO Log'!H8:H508),0)</f>
        <v>0</v>
      </c>
      <c r="E10" s="57" t="n">
        <f aca="false">IFERROR(SUMPRODUCT((TEXT('RTO Log'!$A$8:$A$508,"MMM YYYY")=A10)*ISNUMBER('RTO Log'!$A$8:$A$508)*'RTO Log'!K8:K508),0)</f>
        <v>0</v>
      </c>
      <c r="F10" s="57" t="n">
        <f aca="false">IFERROR(SUMPRODUCT((TEXT('RTO Log'!$A$8:$A$508,"MMM YYYY")=A10)*ISNUMBER('RTO Log'!$A$8:$A$508)*'RTO Log'!N8:N508),0)</f>
        <v>0</v>
      </c>
      <c r="G10" s="57" t="n">
        <f aca="false">IFERROR(SUMPRODUCT((TEXT('RTO Log'!$A$8:$A$508,"MMM YYYY")=A10)*ISNUMBER('RTO Log'!$A$8:$A$508)*'RTO Log'!Q8:Q508),0)</f>
        <v>0</v>
      </c>
      <c r="H10" s="57" t="n">
        <f aca="false">IFERROR(SUMPRODUCT((TEXT('RTO Log'!$A$8:$A$508,"MMM YYYY")=A10)*ISNUMBER('RTO Log'!$A$8:$A$508)*'RTO Log'!T8:T508),0)</f>
        <v>0</v>
      </c>
      <c r="I10" s="57" t="n">
        <f aca="false">IFERROR(SUMPRODUCT((TEXT('RTO Log'!$A$8:$A$508,"MMM YYYY")=A10)*ISNUMBER('RTO Log'!$A$8:$A$508)*'RTO Log'!W8:W508),0)</f>
        <v>0</v>
      </c>
      <c r="J10" s="57" t="n">
        <f aca="false">IFERROR(SUMPRODUCT((TEXT('RTO Log'!$A$8:$A$508,"MMM YYYY")=A10)*ISNUMBER('RTO Log'!$A$8:$A$508)*'RTO Log'!Z8:Z508),0)</f>
        <v>0</v>
      </c>
      <c r="K10" s="57" t="n">
        <f aca="false">IFERROR(SUMPRODUCT((TEXT('RTO Log'!$A$8:$A$508,"MMM YYYY")=A10)*ISNUMBER('RTO Log'!$A$8:$A$508)*'RTO Log'!AC8:AC508),0)</f>
        <v>0</v>
      </c>
      <c r="L10" s="57" t="n">
        <f aca="false">IFERROR(SUMPRODUCT((TEXT('RTO Log'!$A$8:$A$508,"MMM YYYY")=A10)*ISNUMBER('RTO Log'!$A$8:$A$508)*'RTO Log'!AF8:AF508),0)</f>
        <v>0</v>
      </c>
      <c r="M10" s="57" t="n">
        <f aca="false">IFERROR(SUMPRODUCT((TEXT('RTO Log'!$A$8:$A$508,"MMM YYYY")=A10)*ISNUMBER('RTO Log'!$A$8:$A$508)*'RTO Log'!AI8:AI508),0)</f>
        <v>0</v>
      </c>
      <c r="N10" s="54" t="n">
        <f aca="false">SUM(B10:M10)</f>
        <v>0</v>
      </c>
      <c r="O10" s="16" t="e">
        <f aca="false">IFERROR(SUMPRODUCT((TEXT('RTO Log'!$A$8:$A$508,"MMM YYYY")=A10)*ISNUMBER('RTO Log'!$A$8:$A$508)*'RTO Log'!C8:C508),0)+IFERROR(SUMPRODUCT((TEXT('RTO Log'!$A$8:$A$508,"MMM YYYY")=A10)*ISNUMBER('rto log')))</f>
        <v>#VALUE!</v>
      </c>
      <c r="P10" s="33" t="e">
        <f aca="false">N10+O10</f>
        <v>#VALUE!</v>
      </c>
      <c r="Q10" s="33" t="e">
        <f aca="false">IFERROR(SUMPRODUCT((TEXT('Daily Dispatch'!$A$7:$A$506,"MMM YYYY")=A10)*ISNUMBER('Daily Dispatch'!$A$7:$A$506)*'Daily Dispatch'!B7:B506),0)+IFERROR(SUMPRODUCT((TEXT('Daily Dispatch'!$A$7:$A$506,"mmm yy))))))))))))))))))))</f>
        <v>#VALUE!</v>
      </c>
      <c r="R10" s="55" t="str">
        <f aca="false">IFERROR(IF(Q10=0,"—",TEXT(ROUND(P10/Q10*100,1),"0.0")&amp;"%"),"—")</f>
        <v>—</v>
      </c>
      <c r="S10" s="56" t="str">
        <f aca="false">IFERROR(IF(Q10=0,"—",TEXT(ROUND(O10/Q10*100,1),"0.0")&amp;"%"),"—")</f>
        <v>—</v>
      </c>
    </row>
    <row r="11" customFormat="false" ht="18" hidden="false" customHeight="true" outlineLevel="0" collapsed="false">
      <c r="A11" s="18" t="s">
        <v>69</v>
      </c>
      <c r="B11" s="53" t="n">
        <f aca="false">IFERROR(SUMPRODUCT((TEXT('RTO Log'!$A$8:$A$508,"MMM YYYY")=A11)*ISNUMBER('RTO Log'!$A$8:$A$508)*'RTO Log'!B8:B508),0)</f>
        <v>0</v>
      </c>
      <c r="C11" s="53" t="n">
        <f aca="false">IFERROR(SUMPRODUCT((TEXT('RTO Log'!$A$8:$A$508,"MMM YYYY")=A11)*ISNUMBER('RTO Log'!$A$8:$A$508)*'RTO Log'!E8:E508),0)</f>
        <v>0</v>
      </c>
      <c r="D11" s="53" t="n">
        <f aca="false">IFERROR(SUMPRODUCT((TEXT('RTO Log'!$A$8:$A$508,"MMM YYYY")=A11)*ISNUMBER('RTO Log'!$A$8:$A$508)*'RTO Log'!H8:H508),0)</f>
        <v>0</v>
      </c>
      <c r="E11" s="53" t="n">
        <f aca="false">IFERROR(SUMPRODUCT((TEXT('RTO Log'!$A$8:$A$508,"MMM YYYY")=A11)*ISNUMBER('RTO Log'!$A$8:$A$508)*'RTO Log'!K8:K508),0)</f>
        <v>0</v>
      </c>
      <c r="F11" s="53" t="n">
        <f aca="false">IFERROR(SUMPRODUCT((TEXT('RTO Log'!$A$8:$A$508,"MMM YYYY")=A11)*ISNUMBER('RTO Log'!$A$8:$A$508)*'RTO Log'!N8:N508),0)</f>
        <v>0</v>
      </c>
      <c r="G11" s="53" t="n">
        <f aca="false">IFERROR(SUMPRODUCT((TEXT('RTO Log'!$A$8:$A$508,"MMM YYYY")=A11)*ISNUMBER('RTO Log'!$A$8:$A$508)*'RTO Log'!Q8:Q508),0)</f>
        <v>0</v>
      </c>
      <c r="H11" s="53" t="n">
        <f aca="false">IFERROR(SUMPRODUCT((TEXT('RTO Log'!$A$8:$A$508,"MMM YYYY")=A11)*ISNUMBER('RTO Log'!$A$8:$A$508)*'RTO Log'!T8:T508),0)</f>
        <v>0</v>
      </c>
      <c r="I11" s="53" t="n">
        <f aca="false">IFERROR(SUMPRODUCT((TEXT('RTO Log'!$A$8:$A$508,"MMM YYYY")=A11)*ISNUMBER('RTO Log'!$A$8:$A$508)*'RTO Log'!W8:W508),0)</f>
        <v>0</v>
      </c>
      <c r="J11" s="53" t="n">
        <f aca="false">IFERROR(SUMPRODUCT((TEXT('RTO Log'!$A$8:$A$508,"MMM YYYY")=A11)*ISNUMBER('RTO Log'!$A$8:$A$508)*'RTO Log'!Z8:Z508),0)</f>
        <v>0</v>
      </c>
      <c r="K11" s="53" t="n">
        <f aca="false">IFERROR(SUMPRODUCT((TEXT('RTO Log'!$A$8:$A$508,"MMM YYYY")=A11)*ISNUMBER('RTO Log'!$A$8:$A$508)*'RTO Log'!AC8:AC508),0)</f>
        <v>0</v>
      </c>
      <c r="L11" s="53" t="n">
        <f aca="false">IFERROR(SUMPRODUCT((TEXT('RTO Log'!$A$8:$A$508,"MMM YYYY")=A11)*ISNUMBER('RTO Log'!$A$8:$A$508)*'RTO Log'!AF8:AF508),0)</f>
        <v>0</v>
      </c>
      <c r="M11" s="53" t="n">
        <f aca="false">IFERROR(SUMPRODUCT((TEXT('RTO Log'!$A$8:$A$508,"MMM YYYY")=A11)*ISNUMBER('RTO Log'!$A$8:$A$508)*'RTO Log'!AI8:AI508),0)</f>
        <v>0</v>
      </c>
      <c r="N11" s="54" t="n">
        <f aca="false">SUM(B11:M11)</f>
        <v>0</v>
      </c>
      <c r="O11" s="16" t="e">
        <f aca="false">IFERROR(SUMPRODUCT((TEXT('RTO Log'!$A$8:$A$508,"MMM YYYY")=A11)*ISNUMBER('RTO Log'!$A$8:$A$508)*'RTO Log'!C8:C508),0)+IFERROR(SUMPRODUCT((TEXT('RTO Log'!$A$8:$A$508,"MMM YYYY")=A11)*ISNUMBER('rto log')))</f>
        <v>#VALUE!</v>
      </c>
      <c r="P11" s="33" t="e">
        <f aca="false">N11+O11</f>
        <v>#VALUE!</v>
      </c>
      <c r="Q11" s="33" t="e">
        <f aca="false">IFERROR(SUMPRODUCT((TEXT('Daily Dispatch'!$A$7:$A$506,"MMM YYYY")=A11)*ISNUMBER('Daily Dispatch'!$A$7:$A$506)*'Daily Dispatch'!B7:B506),0)+IFERROR(SUMPRODUCT((TEXT('Daily Dispatch'!$A$7:$A$506,"mmm yy))))))))))))))))))))</f>
        <v>#VALUE!</v>
      </c>
      <c r="R11" s="55" t="str">
        <f aca="false">IFERROR(IF(Q11=0,"—",TEXT(ROUND(P11/Q11*100,1),"0.0")&amp;"%"),"—")</f>
        <v>—</v>
      </c>
      <c r="S11" s="56" t="str">
        <f aca="false">IFERROR(IF(Q11=0,"—",TEXT(ROUND(O11/Q11*100,1),"0.0")&amp;"%"),"—")</f>
        <v>—</v>
      </c>
    </row>
    <row r="12" customFormat="false" ht="18" hidden="false" customHeight="true" outlineLevel="0" collapsed="false">
      <c r="A12" s="22" t="s">
        <v>70</v>
      </c>
      <c r="B12" s="57" t="n">
        <f aca="false">IFERROR(SUMPRODUCT((TEXT('RTO Log'!$A$8:$A$508,"MMM YYYY")=A12)*ISNUMBER('RTO Log'!$A$8:$A$508)*'RTO Log'!B8:B508),0)</f>
        <v>0</v>
      </c>
      <c r="C12" s="57" t="n">
        <f aca="false">IFERROR(SUMPRODUCT((TEXT('RTO Log'!$A$8:$A$508,"MMM YYYY")=A12)*ISNUMBER('RTO Log'!$A$8:$A$508)*'RTO Log'!E8:E508),0)</f>
        <v>0</v>
      </c>
      <c r="D12" s="57" t="n">
        <f aca="false">IFERROR(SUMPRODUCT((TEXT('RTO Log'!$A$8:$A$508,"MMM YYYY")=A12)*ISNUMBER('RTO Log'!$A$8:$A$508)*'RTO Log'!H8:H508),0)</f>
        <v>0</v>
      </c>
      <c r="E12" s="57" t="n">
        <f aca="false">IFERROR(SUMPRODUCT((TEXT('RTO Log'!$A$8:$A$508,"MMM YYYY")=A12)*ISNUMBER('RTO Log'!$A$8:$A$508)*'RTO Log'!K8:K508),0)</f>
        <v>0</v>
      </c>
      <c r="F12" s="57" t="n">
        <f aca="false">IFERROR(SUMPRODUCT((TEXT('RTO Log'!$A$8:$A$508,"MMM YYYY")=A12)*ISNUMBER('RTO Log'!$A$8:$A$508)*'RTO Log'!N8:N508),0)</f>
        <v>0</v>
      </c>
      <c r="G12" s="57" t="n">
        <f aca="false">IFERROR(SUMPRODUCT((TEXT('RTO Log'!$A$8:$A$508,"MMM YYYY")=A12)*ISNUMBER('RTO Log'!$A$8:$A$508)*'RTO Log'!Q8:Q508),0)</f>
        <v>0</v>
      </c>
      <c r="H12" s="57" t="n">
        <f aca="false">IFERROR(SUMPRODUCT((TEXT('RTO Log'!$A$8:$A$508,"MMM YYYY")=A12)*ISNUMBER('RTO Log'!$A$8:$A$508)*'RTO Log'!T8:T508),0)</f>
        <v>0</v>
      </c>
      <c r="I12" s="57" t="n">
        <f aca="false">IFERROR(SUMPRODUCT((TEXT('RTO Log'!$A$8:$A$508,"MMM YYYY")=A12)*ISNUMBER('RTO Log'!$A$8:$A$508)*'RTO Log'!W8:W508),0)</f>
        <v>0</v>
      </c>
      <c r="J12" s="57" t="n">
        <f aca="false">IFERROR(SUMPRODUCT((TEXT('RTO Log'!$A$8:$A$508,"MMM YYYY")=A12)*ISNUMBER('RTO Log'!$A$8:$A$508)*'RTO Log'!Z8:Z508),0)</f>
        <v>0</v>
      </c>
      <c r="K12" s="57" t="n">
        <f aca="false">IFERROR(SUMPRODUCT((TEXT('RTO Log'!$A$8:$A$508,"MMM YYYY")=A12)*ISNUMBER('RTO Log'!$A$8:$A$508)*'RTO Log'!AC8:AC508),0)</f>
        <v>0</v>
      </c>
      <c r="L12" s="57" t="n">
        <f aca="false">IFERROR(SUMPRODUCT((TEXT('RTO Log'!$A$8:$A$508,"MMM YYYY")=A12)*ISNUMBER('RTO Log'!$A$8:$A$508)*'RTO Log'!AF8:AF508),0)</f>
        <v>0</v>
      </c>
      <c r="M12" s="57" t="n">
        <f aca="false">IFERROR(SUMPRODUCT((TEXT('RTO Log'!$A$8:$A$508,"MMM YYYY")=A12)*ISNUMBER('RTO Log'!$A$8:$A$508)*'RTO Log'!AI8:AI508),0)</f>
        <v>0</v>
      </c>
      <c r="N12" s="54" t="n">
        <f aca="false">SUM(B12:M12)</f>
        <v>0</v>
      </c>
      <c r="O12" s="16" t="e">
        <f aca="false">IFERROR(SUMPRODUCT((TEXT('RTO Log'!$A$8:$A$508,"MMM YYYY")=A12)*ISNUMBER('RTO Log'!$A$8:$A$508)*'RTO Log'!C8:C508),0)+IFERROR(SUMPRODUCT((TEXT('RTO Log'!$A$8:$A$508,"MMM YYYY")=A12)*ISNUMBER('rto log')))</f>
        <v>#VALUE!</v>
      </c>
      <c r="P12" s="33" t="e">
        <f aca="false">N12+O12</f>
        <v>#VALUE!</v>
      </c>
      <c r="Q12" s="33" t="e">
        <f aca="false">IFERROR(SUMPRODUCT((TEXT('Daily Dispatch'!$A$7:$A$506,"MMM YYYY")=A12)*ISNUMBER('Daily Dispatch'!$A$7:$A$506)*'Daily Dispatch'!B7:B506),0)+IFERROR(SUMPRODUCT((TEXT('Daily Dispatch'!$A$7:$A$506,"mmm yy))))))))))))))))))))</f>
        <v>#VALUE!</v>
      </c>
      <c r="R12" s="55" t="str">
        <f aca="false">IFERROR(IF(Q12=0,"—",TEXT(ROUND(P12/Q12*100,1),"0.0")&amp;"%"),"—")</f>
        <v>—</v>
      </c>
      <c r="S12" s="56" t="str">
        <f aca="false">IFERROR(IF(Q12=0,"—",TEXT(ROUND(O12/Q12*100,1),"0.0")&amp;"%"),"—")</f>
        <v>—</v>
      </c>
    </row>
    <row r="13" customFormat="false" ht="18" hidden="false" customHeight="true" outlineLevel="0" collapsed="false">
      <c r="A13" s="18" t="s">
        <v>71</v>
      </c>
      <c r="B13" s="53" t="n">
        <f aca="false">IFERROR(SUMPRODUCT((TEXT('RTO Log'!$A$8:$A$508,"MMM YYYY")=A13)*ISNUMBER('RTO Log'!$A$8:$A$508)*'RTO Log'!B8:B508),0)</f>
        <v>0</v>
      </c>
      <c r="C13" s="53" t="n">
        <f aca="false">IFERROR(SUMPRODUCT((TEXT('RTO Log'!$A$8:$A$508,"MMM YYYY")=A13)*ISNUMBER('RTO Log'!$A$8:$A$508)*'RTO Log'!E8:E508),0)</f>
        <v>0</v>
      </c>
      <c r="D13" s="53" t="n">
        <f aca="false">IFERROR(SUMPRODUCT((TEXT('RTO Log'!$A$8:$A$508,"MMM YYYY")=A13)*ISNUMBER('RTO Log'!$A$8:$A$508)*'RTO Log'!H8:H508),0)</f>
        <v>0</v>
      </c>
      <c r="E13" s="53" t="n">
        <f aca="false">IFERROR(SUMPRODUCT((TEXT('RTO Log'!$A$8:$A$508,"MMM YYYY")=A13)*ISNUMBER('RTO Log'!$A$8:$A$508)*'RTO Log'!K8:K508),0)</f>
        <v>0</v>
      </c>
      <c r="F13" s="53" t="n">
        <f aca="false">IFERROR(SUMPRODUCT((TEXT('RTO Log'!$A$8:$A$508,"MMM YYYY")=A13)*ISNUMBER('RTO Log'!$A$8:$A$508)*'RTO Log'!N8:N508),0)</f>
        <v>0</v>
      </c>
      <c r="G13" s="53" t="n">
        <f aca="false">IFERROR(SUMPRODUCT((TEXT('RTO Log'!$A$8:$A$508,"MMM YYYY")=A13)*ISNUMBER('RTO Log'!$A$8:$A$508)*'RTO Log'!Q8:Q508),0)</f>
        <v>0</v>
      </c>
      <c r="H13" s="53" t="n">
        <f aca="false">IFERROR(SUMPRODUCT((TEXT('RTO Log'!$A$8:$A$508,"MMM YYYY")=A13)*ISNUMBER('RTO Log'!$A$8:$A$508)*'RTO Log'!T8:T508),0)</f>
        <v>0</v>
      </c>
      <c r="I13" s="53" t="n">
        <f aca="false">IFERROR(SUMPRODUCT((TEXT('RTO Log'!$A$8:$A$508,"MMM YYYY")=A13)*ISNUMBER('RTO Log'!$A$8:$A$508)*'RTO Log'!W8:W508),0)</f>
        <v>0</v>
      </c>
      <c r="J13" s="53" t="n">
        <f aca="false">IFERROR(SUMPRODUCT((TEXT('RTO Log'!$A$8:$A$508,"MMM YYYY")=A13)*ISNUMBER('RTO Log'!$A$8:$A$508)*'RTO Log'!Z8:Z508),0)</f>
        <v>0</v>
      </c>
      <c r="K13" s="53" t="n">
        <f aca="false">IFERROR(SUMPRODUCT((TEXT('RTO Log'!$A$8:$A$508,"MMM YYYY")=A13)*ISNUMBER('RTO Log'!$A$8:$A$508)*'RTO Log'!AC8:AC508),0)</f>
        <v>0</v>
      </c>
      <c r="L13" s="53" t="n">
        <f aca="false">IFERROR(SUMPRODUCT((TEXT('RTO Log'!$A$8:$A$508,"MMM YYYY")=A13)*ISNUMBER('RTO Log'!$A$8:$A$508)*'RTO Log'!AF8:AF508),0)</f>
        <v>0</v>
      </c>
      <c r="M13" s="53" t="n">
        <f aca="false">IFERROR(SUMPRODUCT((TEXT('RTO Log'!$A$8:$A$508,"MMM YYYY")=A13)*ISNUMBER('RTO Log'!$A$8:$A$508)*'RTO Log'!AI8:AI508),0)</f>
        <v>0</v>
      </c>
      <c r="N13" s="54" t="n">
        <f aca="false">SUM(B13:M13)</f>
        <v>0</v>
      </c>
      <c r="O13" s="16" t="e">
        <f aca="false">IFERROR(SUMPRODUCT((TEXT('RTO Log'!$A$8:$A$508,"MMM YYYY")=A13)*ISNUMBER('RTO Log'!$A$8:$A$508)*'RTO Log'!C8:C508),0)+IFERROR(SUMPRODUCT((TEXT('RTO Log'!$A$8:$A$508,"MMM YYYY")=A13)*ISNUMBER('rto log')))</f>
        <v>#VALUE!</v>
      </c>
      <c r="P13" s="33" t="e">
        <f aca="false">N13+O13</f>
        <v>#VALUE!</v>
      </c>
      <c r="Q13" s="33" t="e">
        <f aca="false">IFERROR(SUMPRODUCT((TEXT('Daily Dispatch'!$A$7:$A$506,"MMM YYYY")=A13)*ISNUMBER('Daily Dispatch'!$A$7:$A$506)*'Daily Dispatch'!B7:B506),0)+IFERROR(SUMPRODUCT((TEXT('Daily Dispatch'!$A$7:$A$506,"mmm yy))))))))))))))))))))</f>
        <v>#VALUE!</v>
      </c>
      <c r="R13" s="55" t="str">
        <f aca="false">IFERROR(IF(Q13=0,"—",TEXT(ROUND(P13/Q13*100,1),"0.0")&amp;"%"),"—")</f>
        <v>—</v>
      </c>
      <c r="S13" s="56" t="str">
        <f aca="false">IFERROR(IF(Q13=0,"—",TEXT(ROUND(O13/Q13*100,1),"0.0")&amp;"%"),"—")</f>
        <v>—</v>
      </c>
    </row>
    <row r="14" customFormat="false" ht="18" hidden="false" customHeight="true" outlineLevel="0" collapsed="false">
      <c r="A14" s="22" t="s">
        <v>72</v>
      </c>
      <c r="B14" s="57" t="n">
        <f aca="false">IFERROR(SUMPRODUCT((TEXT('RTO Log'!$A$8:$A$508,"MMM YYYY")=A14)*ISNUMBER('RTO Log'!$A$8:$A$508)*'RTO Log'!B8:B508),0)</f>
        <v>0</v>
      </c>
      <c r="C14" s="57" t="n">
        <f aca="false">IFERROR(SUMPRODUCT((TEXT('RTO Log'!$A$8:$A$508,"MMM YYYY")=A14)*ISNUMBER('RTO Log'!$A$8:$A$508)*'RTO Log'!E8:E508),0)</f>
        <v>0</v>
      </c>
      <c r="D14" s="57" t="n">
        <f aca="false">IFERROR(SUMPRODUCT((TEXT('RTO Log'!$A$8:$A$508,"MMM YYYY")=A14)*ISNUMBER('RTO Log'!$A$8:$A$508)*'RTO Log'!H8:H508),0)</f>
        <v>0</v>
      </c>
      <c r="E14" s="57" t="n">
        <f aca="false">IFERROR(SUMPRODUCT((TEXT('RTO Log'!$A$8:$A$508,"MMM YYYY")=A14)*ISNUMBER('RTO Log'!$A$8:$A$508)*'RTO Log'!K8:K508),0)</f>
        <v>0</v>
      </c>
      <c r="F14" s="57" t="n">
        <f aca="false">IFERROR(SUMPRODUCT((TEXT('RTO Log'!$A$8:$A$508,"MMM YYYY")=A14)*ISNUMBER('RTO Log'!$A$8:$A$508)*'RTO Log'!N8:N508),0)</f>
        <v>0</v>
      </c>
      <c r="G14" s="57" t="n">
        <f aca="false">IFERROR(SUMPRODUCT((TEXT('RTO Log'!$A$8:$A$508,"MMM YYYY")=A14)*ISNUMBER('RTO Log'!$A$8:$A$508)*'RTO Log'!Q8:Q508),0)</f>
        <v>0</v>
      </c>
      <c r="H14" s="57" t="n">
        <f aca="false">IFERROR(SUMPRODUCT((TEXT('RTO Log'!$A$8:$A$508,"MMM YYYY")=A14)*ISNUMBER('RTO Log'!$A$8:$A$508)*'RTO Log'!T8:T508),0)</f>
        <v>0</v>
      </c>
      <c r="I14" s="57" t="n">
        <f aca="false">IFERROR(SUMPRODUCT((TEXT('RTO Log'!$A$8:$A$508,"MMM YYYY")=A14)*ISNUMBER('RTO Log'!$A$8:$A$508)*'RTO Log'!W8:W508),0)</f>
        <v>0</v>
      </c>
      <c r="J14" s="57" t="n">
        <f aca="false">IFERROR(SUMPRODUCT((TEXT('RTO Log'!$A$8:$A$508,"MMM YYYY")=A14)*ISNUMBER('RTO Log'!$A$8:$A$508)*'RTO Log'!Z8:Z508),0)</f>
        <v>0</v>
      </c>
      <c r="K14" s="57" t="n">
        <f aca="false">IFERROR(SUMPRODUCT((TEXT('RTO Log'!$A$8:$A$508,"MMM YYYY")=A14)*ISNUMBER('RTO Log'!$A$8:$A$508)*'RTO Log'!AC8:AC508),0)</f>
        <v>0</v>
      </c>
      <c r="L14" s="57" t="n">
        <f aca="false">IFERROR(SUMPRODUCT((TEXT('RTO Log'!$A$8:$A$508,"MMM YYYY")=A14)*ISNUMBER('RTO Log'!$A$8:$A$508)*'RTO Log'!AF8:AF508),0)</f>
        <v>0</v>
      </c>
      <c r="M14" s="57" t="n">
        <f aca="false">IFERROR(SUMPRODUCT((TEXT('RTO Log'!$A$8:$A$508,"MMM YYYY")=A14)*ISNUMBER('RTO Log'!$A$8:$A$508)*'RTO Log'!AI8:AI508),0)</f>
        <v>0</v>
      </c>
      <c r="N14" s="54" t="n">
        <f aca="false">SUM(B14:M14)</f>
        <v>0</v>
      </c>
      <c r="O14" s="16" t="e">
        <f aca="false">IFERROR(SUMPRODUCT((TEXT('RTO Log'!$A$8:$A$508,"MMM YYYY")=A14)*ISNUMBER('RTO Log'!$A$8:$A$508)*'RTO Log'!C8:C508),0)+IFERROR(SUMPRODUCT((TEXT('RTO Log'!$A$8:$A$508,"MMM YYYY")=A14)*ISNUMBER('rto log')))</f>
        <v>#VALUE!</v>
      </c>
      <c r="P14" s="33" t="e">
        <f aca="false">N14+O14</f>
        <v>#VALUE!</v>
      </c>
      <c r="Q14" s="33" t="e">
        <f aca="false">IFERROR(SUMPRODUCT((TEXT('Daily Dispatch'!$A$7:$A$506,"MMM YYYY")=A14)*ISNUMBER('Daily Dispatch'!$A$7:$A$506)*'Daily Dispatch'!B7:B506),0)+IFERROR(SUMPRODUCT((TEXT('Daily Dispatch'!$A$7:$A$506,"mmm yy))))))))))))))))))))</f>
        <v>#VALUE!</v>
      </c>
      <c r="R14" s="55" t="str">
        <f aca="false">IFERROR(IF(Q14=0,"—",TEXT(ROUND(P14/Q14*100,1),"0.0")&amp;"%"),"—")</f>
        <v>—</v>
      </c>
      <c r="S14" s="56" t="str">
        <f aca="false">IFERROR(IF(Q14=0,"—",TEXT(ROUND(O14/Q14*100,1),"0.0")&amp;"%"),"—")</f>
        <v>—</v>
      </c>
    </row>
    <row r="15" customFormat="false" ht="18" hidden="false" customHeight="true" outlineLevel="0" collapsed="false">
      <c r="A15" s="18" t="s">
        <v>73</v>
      </c>
      <c r="B15" s="53" t="n">
        <f aca="false">IFERROR(SUMPRODUCT((TEXT('RTO Log'!$A$8:$A$508,"MMM YYYY")=A15)*ISNUMBER('RTO Log'!$A$8:$A$508)*'RTO Log'!B8:B508),0)</f>
        <v>0</v>
      </c>
      <c r="C15" s="53" t="n">
        <f aca="false">IFERROR(SUMPRODUCT((TEXT('RTO Log'!$A$8:$A$508,"MMM YYYY")=A15)*ISNUMBER('RTO Log'!$A$8:$A$508)*'RTO Log'!E8:E508),0)</f>
        <v>0</v>
      </c>
      <c r="D15" s="53" t="n">
        <f aca="false">IFERROR(SUMPRODUCT((TEXT('RTO Log'!$A$8:$A$508,"MMM YYYY")=A15)*ISNUMBER('RTO Log'!$A$8:$A$508)*'RTO Log'!H8:H508),0)</f>
        <v>0</v>
      </c>
      <c r="E15" s="53" t="n">
        <f aca="false">IFERROR(SUMPRODUCT((TEXT('RTO Log'!$A$8:$A$508,"MMM YYYY")=A15)*ISNUMBER('RTO Log'!$A$8:$A$508)*'RTO Log'!K8:K508),0)</f>
        <v>0</v>
      </c>
      <c r="F15" s="53" t="n">
        <f aca="false">IFERROR(SUMPRODUCT((TEXT('RTO Log'!$A$8:$A$508,"MMM YYYY")=A15)*ISNUMBER('RTO Log'!$A$8:$A$508)*'RTO Log'!N8:N508),0)</f>
        <v>0</v>
      </c>
      <c r="G15" s="53" t="n">
        <f aca="false">IFERROR(SUMPRODUCT((TEXT('RTO Log'!$A$8:$A$508,"MMM YYYY")=A15)*ISNUMBER('RTO Log'!$A$8:$A$508)*'RTO Log'!Q8:Q508),0)</f>
        <v>0</v>
      </c>
      <c r="H15" s="53" t="n">
        <f aca="false">IFERROR(SUMPRODUCT((TEXT('RTO Log'!$A$8:$A$508,"MMM YYYY")=A15)*ISNUMBER('RTO Log'!$A$8:$A$508)*'RTO Log'!T8:T508),0)</f>
        <v>0</v>
      </c>
      <c r="I15" s="53" t="n">
        <f aca="false">IFERROR(SUMPRODUCT((TEXT('RTO Log'!$A$8:$A$508,"MMM YYYY")=A15)*ISNUMBER('RTO Log'!$A$8:$A$508)*'RTO Log'!W8:W508),0)</f>
        <v>0</v>
      </c>
      <c r="J15" s="53" t="n">
        <f aca="false">IFERROR(SUMPRODUCT((TEXT('RTO Log'!$A$8:$A$508,"MMM YYYY")=A15)*ISNUMBER('RTO Log'!$A$8:$A$508)*'RTO Log'!Z8:Z508),0)</f>
        <v>0</v>
      </c>
      <c r="K15" s="53" t="n">
        <f aca="false">IFERROR(SUMPRODUCT((TEXT('RTO Log'!$A$8:$A$508,"MMM YYYY")=A15)*ISNUMBER('RTO Log'!$A$8:$A$508)*'RTO Log'!AC8:AC508),0)</f>
        <v>0</v>
      </c>
      <c r="L15" s="53" t="n">
        <f aca="false">IFERROR(SUMPRODUCT((TEXT('RTO Log'!$A$8:$A$508,"MMM YYYY")=A15)*ISNUMBER('RTO Log'!$A$8:$A$508)*'RTO Log'!AF8:AF508),0)</f>
        <v>0</v>
      </c>
      <c r="M15" s="53" t="n">
        <f aca="false">IFERROR(SUMPRODUCT((TEXT('RTO Log'!$A$8:$A$508,"MMM YYYY")=A15)*ISNUMBER('RTO Log'!$A$8:$A$508)*'RTO Log'!AI8:AI508),0)</f>
        <v>0</v>
      </c>
      <c r="N15" s="54" t="n">
        <f aca="false">SUM(B15:M15)</f>
        <v>0</v>
      </c>
      <c r="O15" s="16" t="e">
        <f aca="false">IFERROR(SUMPRODUCT((TEXT('RTO Log'!$A$8:$A$508,"MMM YYYY")=A15)*ISNUMBER('RTO Log'!$A$8:$A$508)*'RTO Log'!C8:C508),0)+IFERROR(SUMPRODUCT((TEXT('RTO Log'!$A$8:$A$508,"MMM YYYY")=A15)*ISNUMBER('rto log')))</f>
        <v>#VALUE!</v>
      </c>
      <c r="P15" s="33" t="e">
        <f aca="false">N15+O15</f>
        <v>#VALUE!</v>
      </c>
      <c r="Q15" s="33" t="e">
        <f aca="false">IFERROR(SUMPRODUCT((TEXT('Daily Dispatch'!$A$7:$A$506,"MMM YYYY")=A15)*ISNUMBER('Daily Dispatch'!$A$7:$A$506)*'Daily Dispatch'!B7:B506),0)+IFERROR(SUMPRODUCT((TEXT('Daily Dispatch'!$A$7:$A$506,"mmm yy))))))))))))))))))))</f>
        <v>#VALUE!</v>
      </c>
      <c r="R15" s="55" t="str">
        <f aca="false">IFERROR(IF(Q15=0,"—",TEXT(ROUND(P15/Q15*100,1),"0.0")&amp;"%"),"—")</f>
        <v>—</v>
      </c>
      <c r="S15" s="56" t="str">
        <f aca="false">IFERROR(IF(Q15=0,"—",TEXT(ROUND(O15/Q15*100,1),"0.0")&amp;"%"),"—")</f>
        <v>—</v>
      </c>
    </row>
    <row r="16" customFormat="false" ht="18" hidden="false" customHeight="true" outlineLevel="0" collapsed="false">
      <c r="A16" s="22" t="s">
        <v>74</v>
      </c>
      <c r="B16" s="57" t="n">
        <f aca="false">IFERROR(SUMPRODUCT((TEXT('RTO Log'!$A$8:$A$508,"MMM YYYY")=A16)*ISNUMBER('RTO Log'!$A$8:$A$508)*'RTO Log'!B8:B508),0)</f>
        <v>0</v>
      </c>
      <c r="C16" s="57" t="n">
        <f aca="false">IFERROR(SUMPRODUCT((TEXT('RTO Log'!$A$8:$A$508,"MMM YYYY")=A16)*ISNUMBER('RTO Log'!$A$8:$A$508)*'RTO Log'!E8:E508),0)</f>
        <v>0</v>
      </c>
      <c r="D16" s="57" t="n">
        <f aca="false">IFERROR(SUMPRODUCT((TEXT('RTO Log'!$A$8:$A$508,"MMM YYYY")=A16)*ISNUMBER('RTO Log'!$A$8:$A$508)*'RTO Log'!H8:H508),0)</f>
        <v>0</v>
      </c>
      <c r="E16" s="57" t="n">
        <f aca="false">IFERROR(SUMPRODUCT((TEXT('RTO Log'!$A$8:$A$508,"MMM YYYY")=A16)*ISNUMBER('RTO Log'!$A$8:$A$508)*'RTO Log'!K8:K508),0)</f>
        <v>0</v>
      </c>
      <c r="F16" s="57" t="n">
        <f aca="false">IFERROR(SUMPRODUCT((TEXT('RTO Log'!$A$8:$A$508,"MMM YYYY")=A16)*ISNUMBER('RTO Log'!$A$8:$A$508)*'RTO Log'!N8:N508),0)</f>
        <v>0</v>
      </c>
      <c r="G16" s="57" t="n">
        <f aca="false">IFERROR(SUMPRODUCT((TEXT('RTO Log'!$A$8:$A$508,"MMM YYYY")=A16)*ISNUMBER('RTO Log'!$A$8:$A$508)*'RTO Log'!Q8:Q508),0)</f>
        <v>0</v>
      </c>
      <c r="H16" s="57" t="n">
        <f aca="false">IFERROR(SUMPRODUCT((TEXT('RTO Log'!$A$8:$A$508,"MMM YYYY")=A16)*ISNUMBER('RTO Log'!$A$8:$A$508)*'RTO Log'!T8:T508),0)</f>
        <v>0</v>
      </c>
      <c r="I16" s="57" t="n">
        <f aca="false">IFERROR(SUMPRODUCT((TEXT('RTO Log'!$A$8:$A$508,"MMM YYYY")=A16)*ISNUMBER('RTO Log'!$A$8:$A$508)*'RTO Log'!W8:W508),0)</f>
        <v>0</v>
      </c>
      <c r="J16" s="57" t="n">
        <f aca="false">IFERROR(SUMPRODUCT((TEXT('RTO Log'!$A$8:$A$508,"MMM YYYY")=A16)*ISNUMBER('RTO Log'!$A$8:$A$508)*'RTO Log'!Z8:Z508),0)</f>
        <v>0</v>
      </c>
      <c r="K16" s="57" t="n">
        <f aca="false">IFERROR(SUMPRODUCT((TEXT('RTO Log'!$A$8:$A$508,"MMM YYYY")=A16)*ISNUMBER('RTO Log'!$A$8:$A$508)*'RTO Log'!AC8:AC508),0)</f>
        <v>0</v>
      </c>
      <c r="L16" s="57" t="n">
        <f aca="false">IFERROR(SUMPRODUCT((TEXT('RTO Log'!$A$8:$A$508,"MMM YYYY")=A16)*ISNUMBER('RTO Log'!$A$8:$A$508)*'RTO Log'!AF8:AF508),0)</f>
        <v>0</v>
      </c>
      <c r="M16" s="57" t="n">
        <f aca="false">IFERROR(SUMPRODUCT((TEXT('RTO Log'!$A$8:$A$508,"MMM YYYY")=A16)*ISNUMBER('RTO Log'!$A$8:$A$508)*'RTO Log'!AI8:AI508),0)</f>
        <v>0</v>
      </c>
      <c r="N16" s="54" t="n">
        <f aca="false">SUM(B16:M16)</f>
        <v>0</v>
      </c>
      <c r="O16" s="16" t="e">
        <f aca="false">IFERROR(SUMPRODUCT((TEXT('RTO Log'!$A$8:$A$508,"MMM YYYY")=A16)*ISNUMBER('RTO Log'!$A$8:$A$508)*'RTO Log'!C8:C508),0)+IFERROR(SUMPRODUCT((TEXT('RTO Log'!$A$8:$A$508,"MMM YYYY")=A16)*ISNUMBER('rto log')))</f>
        <v>#VALUE!</v>
      </c>
      <c r="P16" s="33" t="e">
        <f aca="false">N16+O16</f>
        <v>#VALUE!</v>
      </c>
      <c r="Q16" s="33" t="e">
        <f aca="false">IFERROR(SUMPRODUCT((TEXT('Daily Dispatch'!$A$7:$A$506,"MMM YYYY")=A16)*ISNUMBER('Daily Dispatch'!$A$7:$A$506)*'Daily Dispatch'!B7:B506),0)+IFERROR(SUMPRODUCT((TEXT('Daily Dispatch'!$A$7:$A$506,"mmm yy))))))))))))))))))))</f>
        <v>#VALUE!</v>
      </c>
      <c r="R16" s="55" t="str">
        <f aca="false">IFERROR(IF(Q16=0,"—",TEXT(ROUND(P16/Q16*100,1),"0.0")&amp;"%"),"—")</f>
        <v>—</v>
      </c>
      <c r="S16" s="56" t="str">
        <f aca="false">IFERROR(IF(Q16=0,"—",TEXT(ROUND(O16/Q16*100,1),"0.0")&amp;"%"),"—")</f>
        <v>—</v>
      </c>
    </row>
    <row r="17" customFormat="false" ht="18" hidden="false" customHeight="true" outlineLevel="0" collapsed="false">
      <c r="A17" s="18" t="s">
        <v>75</v>
      </c>
      <c r="B17" s="53" t="n">
        <f aca="false">IFERROR(SUMPRODUCT((TEXT('RTO Log'!$A$8:$A$508,"MMM YYYY")=A17)*ISNUMBER('RTO Log'!$A$8:$A$508)*'RTO Log'!B8:B508),0)</f>
        <v>0</v>
      </c>
      <c r="C17" s="53" t="n">
        <f aca="false">IFERROR(SUMPRODUCT((TEXT('RTO Log'!$A$8:$A$508,"MMM YYYY")=A17)*ISNUMBER('RTO Log'!$A$8:$A$508)*'RTO Log'!E8:E508),0)</f>
        <v>0</v>
      </c>
      <c r="D17" s="53" t="n">
        <f aca="false">IFERROR(SUMPRODUCT((TEXT('RTO Log'!$A$8:$A$508,"MMM YYYY")=A17)*ISNUMBER('RTO Log'!$A$8:$A$508)*'RTO Log'!H8:H508),0)</f>
        <v>0</v>
      </c>
      <c r="E17" s="53" t="n">
        <f aca="false">IFERROR(SUMPRODUCT((TEXT('RTO Log'!$A$8:$A$508,"MMM YYYY")=A17)*ISNUMBER('RTO Log'!$A$8:$A$508)*'RTO Log'!K8:K508),0)</f>
        <v>0</v>
      </c>
      <c r="F17" s="53" t="n">
        <f aca="false">IFERROR(SUMPRODUCT((TEXT('RTO Log'!$A$8:$A$508,"MMM YYYY")=A17)*ISNUMBER('RTO Log'!$A$8:$A$508)*'RTO Log'!N8:N508),0)</f>
        <v>0</v>
      </c>
      <c r="G17" s="53" t="n">
        <f aca="false">IFERROR(SUMPRODUCT((TEXT('RTO Log'!$A$8:$A$508,"MMM YYYY")=A17)*ISNUMBER('RTO Log'!$A$8:$A$508)*'RTO Log'!Q8:Q508),0)</f>
        <v>0</v>
      </c>
      <c r="H17" s="53" t="n">
        <f aca="false">IFERROR(SUMPRODUCT((TEXT('RTO Log'!$A$8:$A$508,"MMM YYYY")=A17)*ISNUMBER('RTO Log'!$A$8:$A$508)*'RTO Log'!T8:T508),0)</f>
        <v>0</v>
      </c>
      <c r="I17" s="53" t="n">
        <f aca="false">IFERROR(SUMPRODUCT((TEXT('RTO Log'!$A$8:$A$508,"MMM YYYY")=A17)*ISNUMBER('RTO Log'!$A$8:$A$508)*'RTO Log'!W8:W508),0)</f>
        <v>0</v>
      </c>
      <c r="J17" s="53" t="n">
        <f aca="false">IFERROR(SUMPRODUCT((TEXT('RTO Log'!$A$8:$A$508,"MMM YYYY")=A17)*ISNUMBER('RTO Log'!$A$8:$A$508)*'RTO Log'!Z8:Z508),0)</f>
        <v>0</v>
      </c>
      <c r="K17" s="53" t="n">
        <f aca="false">IFERROR(SUMPRODUCT((TEXT('RTO Log'!$A$8:$A$508,"MMM YYYY")=A17)*ISNUMBER('RTO Log'!$A$8:$A$508)*'RTO Log'!AC8:AC508),0)</f>
        <v>0</v>
      </c>
      <c r="L17" s="53" t="n">
        <f aca="false">IFERROR(SUMPRODUCT((TEXT('RTO Log'!$A$8:$A$508,"MMM YYYY")=A17)*ISNUMBER('RTO Log'!$A$8:$A$508)*'RTO Log'!AF8:AF508),0)</f>
        <v>0</v>
      </c>
      <c r="M17" s="53" t="n">
        <f aca="false">IFERROR(SUMPRODUCT((TEXT('RTO Log'!$A$8:$A$508,"MMM YYYY")=A17)*ISNUMBER('RTO Log'!$A$8:$A$508)*'RTO Log'!AI8:AI508),0)</f>
        <v>0</v>
      </c>
      <c r="N17" s="54" t="n">
        <f aca="false">SUM(B17:M17)</f>
        <v>0</v>
      </c>
      <c r="O17" s="16" t="e">
        <f aca="false">IFERROR(SUMPRODUCT((TEXT('RTO Log'!$A$8:$A$508,"MMM YYYY")=A17)*ISNUMBER('RTO Log'!$A$8:$A$508)*'RTO Log'!C8:C508),0)+IFERROR(SUMPRODUCT((TEXT('RTO Log'!$A$8:$A$508,"MMM YYYY")=A17)*ISNUMBER('rto log')))</f>
        <v>#VALUE!</v>
      </c>
      <c r="P17" s="33" t="e">
        <f aca="false">N17+O17</f>
        <v>#VALUE!</v>
      </c>
      <c r="Q17" s="33" t="e">
        <f aca="false">IFERROR(SUMPRODUCT((TEXT('Daily Dispatch'!$A$7:$A$506,"MMM YYYY")=A17)*ISNUMBER('Daily Dispatch'!$A$7:$A$506)*'Daily Dispatch'!B7:B506),0)+IFERROR(SUMPRODUCT((TEXT('Daily Dispatch'!$A$7:$A$506,"mmm yy))))))))))))))))))))</f>
        <v>#VALUE!</v>
      </c>
      <c r="R17" s="55" t="str">
        <f aca="false">IFERROR(IF(Q17=0,"—",TEXT(ROUND(P17/Q17*100,1),"0.0")&amp;"%"),"—")</f>
        <v>—</v>
      </c>
      <c r="S17" s="56" t="str">
        <f aca="false">IFERROR(IF(Q17=0,"—",TEXT(ROUND(O17/Q17*100,1),"0.0")&amp;"%"),"—")</f>
        <v>—</v>
      </c>
    </row>
    <row r="18" customFormat="false" ht="18" hidden="false" customHeight="true" outlineLevel="0" collapsed="false">
      <c r="A18" s="22" t="s">
        <v>76</v>
      </c>
      <c r="B18" s="57" t="n">
        <f aca="false">IFERROR(SUMPRODUCT((TEXT('RTO Log'!$A$8:$A$508,"MMM YYYY")=A18)*ISNUMBER('RTO Log'!$A$8:$A$508)*'RTO Log'!B8:B508),0)</f>
        <v>0</v>
      </c>
      <c r="C18" s="57" t="n">
        <f aca="false">IFERROR(SUMPRODUCT((TEXT('RTO Log'!$A$8:$A$508,"MMM YYYY")=A18)*ISNUMBER('RTO Log'!$A$8:$A$508)*'RTO Log'!E8:E508),0)</f>
        <v>0</v>
      </c>
      <c r="D18" s="57" t="n">
        <f aca="false">IFERROR(SUMPRODUCT((TEXT('RTO Log'!$A$8:$A$508,"MMM YYYY")=A18)*ISNUMBER('RTO Log'!$A$8:$A$508)*'RTO Log'!H8:H508),0)</f>
        <v>0</v>
      </c>
      <c r="E18" s="57" t="n">
        <f aca="false">IFERROR(SUMPRODUCT((TEXT('RTO Log'!$A$8:$A$508,"MMM YYYY")=A18)*ISNUMBER('RTO Log'!$A$8:$A$508)*'RTO Log'!K8:K508),0)</f>
        <v>0</v>
      </c>
      <c r="F18" s="57" t="n">
        <f aca="false">IFERROR(SUMPRODUCT((TEXT('RTO Log'!$A$8:$A$508,"MMM YYYY")=A18)*ISNUMBER('RTO Log'!$A$8:$A$508)*'RTO Log'!N8:N508),0)</f>
        <v>0</v>
      </c>
      <c r="G18" s="57" t="n">
        <f aca="false">IFERROR(SUMPRODUCT((TEXT('RTO Log'!$A$8:$A$508,"MMM YYYY")=A18)*ISNUMBER('RTO Log'!$A$8:$A$508)*'RTO Log'!Q8:Q508),0)</f>
        <v>0</v>
      </c>
      <c r="H18" s="57" t="n">
        <f aca="false">IFERROR(SUMPRODUCT((TEXT('RTO Log'!$A$8:$A$508,"MMM YYYY")=A18)*ISNUMBER('RTO Log'!$A$8:$A$508)*'RTO Log'!T8:T508),0)</f>
        <v>0</v>
      </c>
      <c r="I18" s="57" t="n">
        <f aca="false">IFERROR(SUMPRODUCT((TEXT('RTO Log'!$A$8:$A$508,"MMM YYYY")=A18)*ISNUMBER('RTO Log'!$A$8:$A$508)*'RTO Log'!W8:W508),0)</f>
        <v>0</v>
      </c>
      <c r="J18" s="57" t="n">
        <f aca="false">IFERROR(SUMPRODUCT((TEXT('RTO Log'!$A$8:$A$508,"MMM YYYY")=A18)*ISNUMBER('RTO Log'!$A$8:$A$508)*'RTO Log'!Z8:Z508),0)</f>
        <v>0</v>
      </c>
      <c r="K18" s="57" t="n">
        <f aca="false">IFERROR(SUMPRODUCT((TEXT('RTO Log'!$A$8:$A$508,"MMM YYYY")=A18)*ISNUMBER('RTO Log'!$A$8:$A$508)*'RTO Log'!AC8:AC508),0)</f>
        <v>0</v>
      </c>
      <c r="L18" s="57" t="n">
        <f aca="false">IFERROR(SUMPRODUCT((TEXT('RTO Log'!$A$8:$A$508,"MMM YYYY")=A18)*ISNUMBER('RTO Log'!$A$8:$A$508)*'RTO Log'!AF8:AF508),0)</f>
        <v>0</v>
      </c>
      <c r="M18" s="57" t="n">
        <f aca="false">IFERROR(SUMPRODUCT((TEXT('RTO Log'!$A$8:$A$508,"MMM YYYY")=A18)*ISNUMBER('RTO Log'!$A$8:$A$508)*'RTO Log'!AI8:AI508),0)</f>
        <v>0</v>
      </c>
      <c r="N18" s="54" t="n">
        <f aca="false">SUM(B18:M18)</f>
        <v>0</v>
      </c>
      <c r="O18" s="16" t="e">
        <f aca="false">IFERROR(SUMPRODUCT((TEXT('RTO Log'!$A$8:$A$508,"MMM YYYY")=A18)*ISNUMBER('RTO Log'!$A$8:$A$508)*'RTO Log'!C8:C508),0)+IFERROR(SUMPRODUCT((TEXT('RTO Log'!$A$8:$A$508,"MMM YYYY")=A18)*ISNUMBER('rto log')))</f>
        <v>#VALUE!</v>
      </c>
      <c r="P18" s="33" t="e">
        <f aca="false">N18+O18</f>
        <v>#VALUE!</v>
      </c>
      <c r="Q18" s="33" t="e">
        <f aca="false">IFERROR(SUMPRODUCT((TEXT('Daily Dispatch'!$A$7:$A$506,"MMM YYYY")=A18)*ISNUMBER('Daily Dispatch'!$A$7:$A$506)*'Daily Dispatch'!B7:B506),0)+IFERROR(SUMPRODUCT((TEXT('Daily Dispatch'!$A$7:$A$506,"mmm yy))))))))))))))))))))</f>
        <v>#VALUE!</v>
      </c>
      <c r="R18" s="55" t="str">
        <f aca="false">IFERROR(IF(Q18=0,"—",TEXT(ROUND(P18/Q18*100,1),"0.0")&amp;"%"),"—")</f>
        <v>—</v>
      </c>
      <c r="S18" s="56" t="str">
        <f aca="false">IFERROR(IF(Q18=0,"—",TEXT(ROUND(O18/Q18*100,1),"0.0")&amp;"%"),"—")</f>
        <v>—</v>
      </c>
    </row>
    <row r="19" customFormat="false" ht="18" hidden="false" customHeight="true" outlineLevel="0" collapsed="false">
      <c r="A19" s="18" t="s">
        <v>77</v>
      </c>
      <c r="B19" s="53" t="n">
        <f aca="false">IFERROR(SUMPRODUCT((TEXT('RTO Log'!$A$8:$A$508,"MMM YYYY")=A19)*ISNUMBER('RTO Log'!$A$8:$A$508)*'RTO Log'!B8:B508),0)</f>
        <v>0</v>
      </c>
      <c r="C19" s="53" t="n">
        <f aca="false">IFERROR(SUMPRODUCT((TEXT('RTO Log'!$A$8:$A$508,"MMM YYYY")=A19)*ISNUMBER('RTO Log'!$A$8:$A$508)*'RTO Log'!E8:E508),0)</f>
        <v>0</v>
      </c>
      <c r="D19" s="53" t="n">
        <f aca="false">IFERROR(SUMPRODUCT((TEXT('RTO Log'!$A$8:$A$508,"MMM YYYY")=A19)*ISNUMBER('RTO Log'!$A$8:$A$508)*'RTO Log'!H8:H508),0)</f>
        <v>0</v>
      </c>
      <c r="E19" s="53" t="n">
        <f aca="false">IFERROR(SUMPRODUCT((TEXT('RTO Log'!$A$8:$A$508,"MMM YYYY")=A19)*ISNUMBER('RTO Log'!$A$8:$A$508)*'RTO Log'!K8:K508),0)</f>
        <v>0</v>
      </c>
      <c r="F19" s="53" t="n">
        <f aca="false">IFERROR(SUMPRODUCT((TEXT('RTO Log'!$A$8:$A$508,"MMM YYYY")=A19)*ISNUMBER('RTO Log'!$A$8:$A$508)*'RTO Log'!N8:N508),0)</f>
        <v>0</v>
      </c>
      <c r="G19" s="53" t="n">
        <f aca="false">IFERROR(SUMPRODUCT((TEXT('RTO Log'!$A$8:$A$508,"MMM YYYY")=A19)*ISNUMBER('RTO Log'!$A$8:$A$508)*'RTO Log'!Q8:Q508),0)</f>
        <v>0</v>
      </c>
      <c r="H19" s="53" t="n">
        <f aca="false">IFERROR(SUMPRODUCT((TEXT('RTO Log'!$A$8:$A$508,"MMM YYYY")=A19)*ISNUMBER('RTO Log'!$A$8:$A$508)*'RTO Log'!T8:T508),0)</f>
        <v>0</v>
      </c>
      <c r="I19" s="53" t="n">
        <f aca="false">IFERROR(SUMPRODUCT((TEXT('RTO Log'!$A$8:$A$508,"MMM YYYY")=A19)*ISNUMBER('RTO Log'!$A$8:$A$508)*'RTO Log'!W8:W508),0)</f>
        <v>0</v>
      </c>
      <c r="J19" s="53" t="n">
        <f aca="false">IFERROR(SUMPRODUCT((TEXT('RTO Log'!$A$8:$A$508,"MMM YYYY")=A19)*ISNUMBER('RTO Log'!$A$8:$A$508)*'RTO Log'!Z8:Z508),0)</f>
        <v>0</v>
      </c>
      <c r="K19" s="53" t="n">
        <f aca="false">IFERROR(SUMPRODUCT((TEXT('RTO Log'!$A$8:$A$508,"MMM YYYY")=A19)*ISNUMBER('RTO Log'!$A$8:$A$508)*'RTO Log'!AC8:AC508),0)</f>
        <v>0</v>
      </c>
      <c r="L19" s="53" t="n">
        <f aca="false">IFERROR(SUMPRODUCT((TEXT('RTO Log'!$A$8:$A$508,"MMM YYYY")=A19)*ISNUMBER('RTO Log'!$A$8:$A$508)*'RTO Log'!AF8:AF508),0)</f>
        <v>0</v>
      </c>
      <c r="M19" s="53" t="n">
        <f aca="false">IFERROR(SUMPRODUCT((TEXT('RTO Log'!$A$8:$A$508,"MMM YYYY")=A19)*ISNUMBER('RTO Log'!$A$8:$A$508)*'RTO Log'!AI8:AI508),0)</f>
        <v>0</v>
      </c>
      <c r="N19" s="54" t="n">
        <f aca="false">SUM(B19:M19)</f>
        <v>0</v>
      </c>
      <c r="O19" s="16" t="e">
        <f aca="false">IFERROR(SUMPRODUCT((TEXT('RTO Log'!$A$8:$A$508,"MMM YYYY")=A19)*ISNUMBER('RTO Log'!$A$8:$A$508)*'RTO Log'!C8:C508),0)+IFERROR(SUMPRODUCT((TEXT('RTO Log'!$A$8:$A$508,"MMM YYYY")=A19)*ISNUMBER('rto log')))</f>
        <v>#VALUE!</v>
      </c>
      <c r="P19" s="33" t="e">
        <f aca="false">N19+O19</f>
        <v>#VALUE!</v>
      </c>
      <c r="Q19" s="33" t="e">
        <f aca="false">IFERROR(SUMPRODUCT((TEXT('Daily Dispatch'!$A$7:$A$506,"MMM YYYY")=A19)*ISNUMBER('Daily Dispatch'!$A$7:$A$506)*'Daily Dispatch'!B7:B506),0)+IFERROR(SUMPRODUCT((TEXT('Daily Dispatch'!$A$7:$A$506,"mmm yy))))))))))))))))))))</f>
        <v>#VALUE!</v>
      </c>
      <c r="R19" s="55" t="str">
        <f aca="false">IFERROR(IF(Q19=0,"—",TEXT(ROUND(P19/Q19*100,1),"0.0")&amp;"%"),"—")</f>
        <v>—</v>
      </c>
      <c r="S19" s="56" t="str">
        <f aca="false">IFERROR(IF(Q19=0,"—",TEXT(ROUND(O19/Q19*100,1),"0.0")&amp;"%"),"—")</f>
        <v>—</v>
      </c>
    </row>
    <row r="20" customFormat="false" ht="18" hidden="false" customHeight="true" outlineLevel="0" collapsed="false">
      <c r="A20" s="22" t="s">
        <v>78</v>
      </c>
      <c r="B20" s="57" t="n">
        <f aca="false">IFERROR(SUMPRODUCT((TEXT('RTO Log'!$A$8:$A$508,"MMM YYYY")=A20)*ISNUMBER('RTO Log'!$A$8:$A$508)*'RTO Log'!B8:B508),0)</f>
        <v>0</v>
      </c>
      <c r="C20" s="57" t="n">
        <f aca="false">IFERROR(SUMPRODUCT((TEXT('RTO Log'!$A$8:$A$508,"MMM YYYY")=A20)*ISNUMBER('RTO Log'!$A$8:$A$508)*'RTO Log'!E8:E508),0)</f>
        <v>0</v>
      </c>
      <c r="D20" s="57" t="n">
        <f aca="false">IFERROR(SUMPRODUCT((TEXT('RTO Log'!$A$8:$A$508,"MMM YYYY")=A20)*ISNUMBER('RTO Log'!$A$8:$A$508)*'RTO Log'!H8:H508),0)</f>
        <v>0</v>
      </c>
      <c r="E20" s="57" t="n">
        <f aca="false">IFERROR(SUMPRODUCT((TEXT('RTO Log'!$A$8:$A$508,"MMM YYYY")=A20)*ISNUMBER('RTO Log'!$A$8:$A$508)*'RTO Log'!K8:K508),0)</f>
        <v>0</v>
      </c>
      <c r="F20" s="57" t="n">
        <f aca="false">IFERROR(SUMPRODUCT((TEXT('RTO Log'!$A$8:$A$508,"MMM YYYY")=A20)*ISNUMBER('RTO Log'!$A$8:$A$508)*'RTO Log'!N8:N508),0)</f>
        <v>0</v>
      </c>
      <c r="G20" s="57" t="n">
        <f aca="false">IFERROR(SUMPRODUCT((TEXT('RTO Log'!$A$8:$A$508,"MMM YYYY")=A20)*ISNUMBER('RTO Log'!$A$8:$A$508)*'RTO Log'!Q8:Q508),0)</f>
        <v>0</v>
      </c>
      <c r="H20" s="57" t="n">
        <f aca="false">IFERROR(SUMPRODUCT((TEXT('RTO Log'!$A$8:$A$508,"MMM YYYY")=A20)*ISNUMBER('RTO Log'!$A$8:$A$508)*'RTO Log'!T8:T508),0)</f>
        <v>0</v>
      </c>
      <c r="I20" s="57" t="n">
        <f aca="false">IFERROR(SUMPRODUCT((TEXT('RTO Log'!$A$8:$A$508,"MMM YYYY")=A20)*ISNUMBER('RTO Log'!$A$8:$A$508)*'RTO Log'!W8:W508),0)</f>
        <v>0</v>
      </c>
      <c r="J20" s="57" t="n">
        <f aca="false">IFERROR(SUMPRODUCT((TEXT('RTO Log'!$A$8:$A$508,"MMM YYYY")=A20)*ISNUMBER('RTO Log'!$A$8:$A$508)*'RTO Log'!Z8:Z508),0)</f>
        <v>0</v>
      </c>
      <c r="K20" s="57" t="n">
        <f aca="false">IFERROR(SUMPRODUCT((TEXT('RTO Log'!$A$8:$A$508,"MMM YYYY")=A20)*ISNUMBER('RTO Log'!$A$8:$A$508)*'RTO Log'!AC8:AC508),0)</f>
        <v>0</v>
      </c>
      <c r="L20" s="57" t="n">
        <f aca="false">IFERROR(SUMPRODUCT((TEXT('RTO Log'!$A$8:$A$508,"MMM YYYY")=A20)*ISNUMBER('RTO Log'!$A$8:$A$508)*'RTO Log'!AF8:AF508),0)</f>
        <v>0</v>
      </c>
      <c r="M20" s="57" t="n">
        <f aca="false">IFERROR(SUMPRODUCT((TEXT('RTO Log'!$A$8:$A$508,"MMM YYYY")=A20)*ISNUMBER('RTO Log'!$A$8:$A$508)*'RTO Log'!AI8:AI508),0)</f>
        <v>0</v>
      </c>
      <c r="N20" s="54" t="n">
        <f aca="false">SUM(B20:M20)</f>
        <v>0</v>
      </c>
      <c r="O20" s="16" t="e">
        <f aca="false">IFERROR(SUMPRODUCT((TEXT('RTO Log'!$A$8:$A$508,"MMM YYYY")=A20)*ISNUMBER('RTO Log'!$A$8:$A$508)*'RTO Log'!C8:C508),0)+IFERROR(SUMPRODUCT((TEXT('RTO Log'!$A$8:$A$508,"MMM YYYY")=A20)*ISNUMBER('rto log')))</f>
        <v>#VALUE!</v>
      </c>
      <c r="P20" s="33" t="e">
        <f aca="false">N20+O20</f>
        <v>#VALUE!</v>
      </c>
      <c r="Q20" s="33" t="e">
        <f aca="false">IFERROR(SUMPRODUCT((TEXT('Daily Dispatch'!$A$7:$A$506,"MMM YYYY")=A20)*ISNUMBER('Daily Dispatch'!$A$7:$A$506)*'Daily Dispatch'!B7:B506),0)+IFERROR(SUMPRODUCT((TEXT('Daily Dispatch'!$A$7:$A$506,"mmm yy))))))))))))))))))))</f>
        <v>#VALUE!</v>
      </c>
      <c r="R20" s="55" t="str">
        <f aca="false">IFERROR(IF(Q20=0,"—",TEXT(ROUND(P20/Q20*100,1),"0.0")&amp;"%"),"—")</f>
        <v>—</v>
      </c>
      <c r="S20" s="56" t="str">
        <f aca="false">IFERROR(IF(Q20=0,"—",TEXT(ROUND(O20/Q20*100,1),"0.0")&amp;"%"),"—")</f>
        <v>—</v>
      </c>
    </row>
    <row r="21" customFormat="false" ht="18" hidden="false" customHeight="true" outlineLevel="0" collapsed="false">
      <c r="A21" s="18" t="s">
        <v>79</v>
      </c>
      <c r="B21" s="53" t="n">
        <f aca="false">IFERROR(SUMPRODUCT((TEXT('RTO Log'!$A$8:$A$508,"MMM YYYY")=A21)*ISNUMBER('RTO Log'!$A$8:$A$508)*'RTO Log'!B8:B508),0)</f>
        <v>0</v>
      </c>
      <c r="C21" s="53" t="n">
        <f aca="false">IFERROR(SUMPRODUCT((TEXT('RTO Log'!$A$8:$A$508,"MMM YYYY")=A21)*ISNUMBER('RTO Log'!$A$8:$A$508)*'RTO Log'!E8:E508),0)</f>
        <v>0</v>
      </c>
      <c r="D21" s="53" t="n">
        <f aca="false">IFERROR(SUMPRODUCT((TEXT('RTO Log'!$A$8:$A$508,"MMM YYYY")=A21)*ISNUMBER('RTO Log'!$A$8:$A$508)*'RTO Log'!H8:H508),0)</f>
        <v>0</v>
      </c>
      <c r="E21" s="53" t="n">
        <f aca="false">IFERROR(SUMPRODUCT((TEXT('RTO Log'!$A$8:$A$508,"MMM YYYY")=A21)*ISNUMBER('RTO Log'!$A$8:$A$508)*'RTO Log'!K8:K508),0)</f>
        <v>0</v>
      </c>
      <c r="F21" s="53" t="n">
        <f aca="false">IFERROR(SUMPRODUCT((TEXT('RTO Log'!$A$8:$A$508,"MMM YYYY")=A21)*ISNUMBER('RTO Log'!$A$8:$A$508)*'RTO Log'!N8:N508),0)</f>
        <v>0</v>
      </c>
      <c r="G21" s="53" t="n">
        <f aca="false">IFERROR(SUMPRODUCT((TEXT('RTO Log'!$A$8:$A$508,"MMM YYYY")=A21)*ISNUMBER('RTO Log'!$A$8:$A$508)*'RTO Log'!Q8:Q508),0)</f>
        <v>0</v>
      </c>
      <c r="H21" s="53" t="n">
        <f aca="false">IFERROR(SUMPRODUCT((TEXT('RTO Log'!$A$8:$A$508,"MMM YYYY")=A21)*ISNUMBER('RTO Log'!$A$8:$A$508)*'RTO Log'!T8:T508),0)</f>
        <v>0</v>
      </c>
      <c r="I21" s="53" t="n">
        <f aca="false">IFERROR(SUMPRODUCT((TEXT('RTO Log'!$A$8:$A$508,"MMM YYYY")=A21)*ISNUMBER('RTO Log'!$A$8:$A$508)*'RTO Log'!W8:W508),0)</f>
        <v>0</v>
      </c>
      <c r="J21" s="53" t="n">
        <f aca="false">IFERROR(SUMPRODUCT((TEXT('RTO Log'!$A$8:$A$508,"MMM YYYY")=A21)*ISNUMBER('RTO Log'!$A$8:$A$508)*'RTO Log'!Z8:Z508),0)</f>
        <v>0</v>
      </c>
      <c r="K21" s="53" t="n">
        <f aca="false">IFERROR(SUMPRODUCT((TEXT('RTO Log'!$A$8:$A$508,"MMM YYYY")=A21)*ISNUMBER('RTO Log'!$A$8:$A$508)*'RTO Log'!AC8:AC508),0)</f>
        <v>0</v>
      </c>
      <c r="L21" s="53" t="n">
        <f aca="false">IFERROR(SUMPRODUCT((TEXT('RTO Log'!$A$8:$A$508,"MMM YYYY")=A21)*ISNUMBER('RTO Log'!$A$8:$A$508)*'RTO Log'!AF8:AF508),0)</f>
        <v>0</v>
      </c>
      <c r="M21" s="53" t="n">
        <f aca="false">IFERROR(SUMPRODUCT((TEXT('RTO Log'!$A$8:$A$508,"MMM YYYY")=A21)*ISNUMBER('RTO Log'!$A$8:$A$508)*'RTO Log'!AI8:AI508),0)</f>
        <v>0</v>
      </c>
      <c r="N21" s="54" t="n">
        <f aca="false">SUM(B21:M21)</f>
        <v>0</v>
      </c>
      <c r="O21" s="16" t="e">
        <f aca="false">IFERROR(SUMPRODUCT((TEXT('RTO Log'!$A$8:$A$508,"MMM YYYY")=A21)*ISNUMBER('RTO Log'!$A$8:$A$508)*'RTO Log'!C8:C508),0)+IFERROR(SUMPRODUCT((TEXT('RTO Log'!$A$8:$A$508,"MMM YYYY")=A21)*ISNUMBER('rto log')))</f>
        <v>#VALUE!</v>
      </c>
      <c r="P21" s="33" t="e">
        <f aca="false">N21+O21</f>
        <v>#VALUE!</v>
      </c>
      <c r="Q21" s="33" t="e">
        <f aca="false">IFERROR(SUMPRODUCT((TEXT('Daily Dispatch'!$A$7:$A$506,"MMM YYYY")=A21)*ISNUMBER('Daily Dispatch'!$A$7:$A$506)*'Daily Dispatch'!B7:B506),0)+IFERROR(SUMPRODUCT((TEXT('Daily Dispatch'!$A$7:$A$506,"mmm yy))))))))))))))))))))</f>
        <v>#VALUE!</v>
      </c>
      <c r="R21" s="55" t="str">
        <f aca="false">IFERROR(IF(Q21=0,"—",TEXT(ROUND(P21/Q21*100,1),"0.0")&amp;"%"),"—")</f>
        <v>—</v>
      </c>
      <c r="S21" s="56" t="str">
        <f aca="false">IFERROR(IF(Q21=0,"—",TEXT(ROUND(O21/Q21*100,1),"0.0")&amp;"%"),"—")</f>
        <v>—</v>
      </c>
    </row>
    <row r="22" customFormat="false" ht="18" hidden="false" customHeight="true" outlineLevel="0" collapsed="false">
      <c r="A22" s="22" t="s">
        <v>80</v>
      </c>
      <c r="B22" s="57" t="n">
        <f aca="false">IFERROR(SUMPRODUCT((TEXT('RTO Log'!$A$8:$A$508,"MMM YYYY")=A22)*ISNUMBER('RTO Log'!$A$8:$A$508)*'RTO Log'!B8:B508),0)</f>
        <v>0</v>
      </c>
      <c r="C22" s="57" t="n">
        <f aca="false">IFERROR(SUMPRODUCT((TEXT('RTO Log'!$A$8:$A$508,"MMM YYYY")=A22)*ISNUMBER('RTO Log'!$A$8:$A$508)*'RTO Log'!E8:E508),0)</f>
        <v>0</v>
      </c>
      <c r="D22" s="57" t="n">
        <f aca="false">IFERROR(SUMPRODUCT((TEXT('RTO Log'!$A$8:$A$508,"MMM YYYY")=A22)*ISNUMBER('RTO Log'!$A$8:$A$508)*'RTO Log'!H8:H508),0)</f>
        <v>0</v>
      </c>
      <c r="E22" s="57" t="n">
        <f aca="false">IFERROR(SUMPRODUCT((TEXT('RTO Log'!$A$8:$A$508,"MMM YYYY")=A22)*ISNUMBER('RTO Log'!$A$8:$A$508)*'RTO Log'!K8:K508),0)</f>
        <v>0</v>
      </c>
      <c r="F22" s="57" t="n">
        <f aca="false">IFERROR(SUMPRODUCT((TEXT('RTO Log'!$A$8:$A$508,"MMM YYYY")=A22)*ISNUMBER('RTO Log'!$A$8:$A$508)*'RTO Log'!N8:N508),0)</f>
        <v>0</v>
      </c>
      <c r="G22" s="57" t="n">
        <f aca="false">IFERROR(SUMPRODUCT((TEXT('RTO Log'!$A$8:$A$508,"MMM YYYY")=A22)*ISNUMBER('RTO Log'!$A$8:$A$508)*'RTO Log'!Q8:Q508),0)</f>
        <v>0</v>
      </c>
      <c r="H22" s="57" t="n">
        <f aca="false">IFERROR(SUMPRODUCT((TEXT('RTO Log'!$A$8:$A$508,"MMM YYYY")=A22)*ISNUMBER('RTO Log'!$A$8:$A$508)*'RTO Log'!T8:T508),0)</f>
        <v>0</v>
      </c>
      <c r="I22" s="57" t="n">
        <f aca="false">IFERROR(SUMPRODUCT((TEXT('RTO Log'!$A$8:$A$508,"MMM YYYY")=A22)*ISNUMBER('RTO Log'!$A$8:$A$508)*'RTO Log'!W8:W508),0)</f>
        <v>0</v>
      </c>
      <c r="J22" s="57" t="n">
        <f aca="false">IFERROR(SUMPRODUCT((TEXT('RTO Log'!$A$8:$A$508,"MMM YYYY")=A22)*ISNUMBER('RTO Log'!$A$8:$A$508)*'RTO Log'!Z8:Z508),0)</f>
        <v>0</v>
      </c>
      <c r="K22" s="57" t="n">
        <f aca="false">IFERROR(SUMPRODUCT((TEXT('RTO Log'!$A$8:$A$508,"MMM YYYY")=A22)*ISNUMBER('RTO Log'!$A$8:$A$508)*'RTO Log'!AC8:AC508),0)</f>
        <v>0</v>
      </c>
      <c r="L22" s="57" t="n">
        <f aca="false">IFERROR(SUMPRODUCT((TEXT('RTO Log'!$A$8:$A$508,"MMM YYYY")=A22)*ISNUMBER('RTO Log'!$A$8:$A$508)*'RTO Log'!AF8:AF508),0)</f>
        <v>0</v>
      </c>
      <c r="M22" s="57" t="n">
        <f aca="false">IFERROR(SUMPRODUCT((TEXT('RTO Log'!$A$8:$A$508,"MMM YYYY")=A22)*ISNUMBER('RTO Log'!$A$8:$A$508)*'RTO Log'!AI8:AI508),0)</f>
        <v>0</v>
      </c>
      <c r="N22" s="54" t="n">
        <f aca="false">SUM(B22:M22)</f>
        <v>0</v>
      </c>
      <c r="O22" s="16" t="e">
        <f aca="false">IFERROR(SUMPRODUCT((TEXT('RTO Log'!$A$8:$A$508,"MMM YYYY")=A22)*ISNUMBER('RTO Log'!$A$8:$A$508)*'RTO Log'!C8:C508),0)+IFERROR(SUMPRODUCT((TEXT('RTO Log'!$A$8:$A$508,"MMM YYYY")=A22)*ISNUMBER('rto log')))</f>
        <v>#VALUE!</v>
      </c>
      <c r="P22" s="33" t="e">
        <f aca="false">N22+O22</f>
        <v>#VALUE!</v>
      </c>
      <c r="Q22" s="33" t="e">
        <f aca="false">IFERROR(SUMPRODUCT((TEXT('Daily Dispatch'!$A$7:$A$506,"MMM YYYY")=A22)*ISNUMBER('Daily Dispatch'!$A$7:$A$506)*'Daily Dispatch'!B7:B506),0)+IFERROR(SUMPRODUCT((TEXT('Daily Dispatch'!$A$7:$A$506,"mmm yy))))))))))))))))))))</f>
        <v>#VALUE!</v>
      </c>
      <c r="R22" s="55" t="str">
        <f aca="false">IFERROR(IF(Q22=0,"—",TEXT(ROUND(P22/Q22*100,1),"0.0")&amp;"%"),"—")</f>
        <v>—</v>
      </c>
      <c r="S22" s="56" t="str">
        <f aca="false">IFERROR(IF(Q22=0,"—",TEXT(ROUND(O22/Q22*100,1),"0.0")&amp;"%"),"—")</f>
        <v>—</v>
      </c>
    </row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4.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customFormat="false" ht="19.5" hidden="false" customHeight="true" outlineLevel="0" collapsed="false">
      <c r="A26" s="24" t="s">
        <v>27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</row>
  </sheetData>
  <mergeCells count="8">
    <mergeCell ref="A1:Q1"/>
    <mergeCell ref="A2:Q2"/>
    <mergeCell ref="A3:Q3"/>
    <mergeCell ref="A4:E4"/>
    <mergeCell ref="F4:J4"/>
    <mergeCell ref="K4:Q4"/>
    <mergeCell ref="A25:Q25"/>
    <mergeCell ref="A26:Q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4AB7"/>
    <pageSetUpPr fitToPage="false"/>
  </sheetPr>
  <dimension ref="A1:N1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4" min="2" style="0" width="10"/>
  </cols>
  <sheetData>
    <row r="1" customFormat="false" ht="36" hidden="false" customHeight="true" outlineLevel="0" collapsed="false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4" hidden="false" customHeight="true" outlineLevel="0" collapsed="false">
      <c r="A4" s="5" t="s">
        <v>48</v>
      </c>
      <c r="B4" s="5"/>
      <c r="C4" s="5"/>
      <c r="D4" s="5"/>
      <c r="E4" s="5"/>
      <c r="F4" s="5" t="s">
        <v>49</v>
      </c>
      <c r="G4" s="5"/>
      <c r="H4" s="5"/>
      <c r="I4" s="5"/>
      <c r="J4" s="7" t="s">
        <v>50</v>
      </c>
      <c r="K4" s="7"/>
      <c r="L4" s="7"/>
      <c r="M4" s="7"/>
      <c r="N4" s="7"/>
    </row>
    <row r="5" customFormat="false" ht="3.75" hidden="false" customHeight="true" outlineLevel="0" collapsed="false"/>
    <row r="6" customFormat="false" ht="30" hidden="false" customHeight="true" outlineLevel="0" collapsed="false">
      <c r="A6" s="8" t="s">
        <v>51</v>
      </c>
      <c r="B6" s="9" t="s">
        <v>52</v>
      </c>
      <c r="C6" s="9" t="s">
        <v>53</v>
      </c>
      <c r="D6" s="9" t="s">
        <v>54</v>
      </c>
      <c r="E6" s="9" t="s">
        <v>55</v>
      </c>
      <c r="F6" s="9" t="s">
        <v>56</v>
      </c>
      <c r="G6" s="9" t="s">
        <v>57</v>
      </c>
      <c r="H6" s="9" t="s">
        <v>58</v>
      </c>
      <c r="I6" s="9" t="s">
        <v>58</v>
      </c>
      <c r="J6" s="9" t="s">
        <v>58</v>
      </c>
      <c r="K6" s="9" t="s">
        <v>59</v>
      </c>
      <c r="L6" s="9" t="s">
        <v>60</v>
      </c>
      <c r="M6" s="9" t="s">
        <v>25</v>
      </c>
      <c r="N6" s="10" t="s">
        <v>61</v>
      </c>
    </row>
    <row r="7" customFormat="false" ht="21.75" hidden="false" customHeight="true" outlineLevel="0" collapsed="false">
      <c r="A7" s="47" t="s">
        <v>62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</row>
    <row r="8" customFormat="false" ht="15.75" hidden="false" customHeight="true" outlineLevel="0" collapsed="false">
      <c r="A8" s="41"/>
      <c r="B8" s="42" t="str">
        <f aca="false">IF(A8="","",IFERROR(SUMIF('Stock In'!$A:$A,A8,'Stock In'!F:F),0))</f>
        <v/>
      </c>
      <c r="C8" s="42" t="str">
        <f aca="false">IF(A8="","",IFERROR(SUMIF('Stock In'!$A:$A,A8,'Stock In'!I:I),0))</f>
        <v/>
      </c>
      <c r="D8" s="42" t="str">
        <f aca="false">IF(A8="","",IFERROR(SUMIF('Stock In'!$A:$A,A8,'Stock In'!L:L),0))</f>
        <v/>
      </c>
      <c r="E8" s="42" t="str">
        <f aca="false">IF(A8="","",IFERROR(SUMIF('Stock In'!$A:$A,A8,'Stock In'!O:O),0))</f>
        <v/>
      </c>
      <c r="F8" s="42" t="str">
        <f aca="false">IF(A8="","",IFERROR(SUMIF('Stock In'!$A:$A,A8,'Stock In'!R:R),0))</f>
        <v/>
      </c>
      <c r="G8" s="42" t="str">
        <f aca="false">IF(A8="","",IFERROR(SUMIF('Stock In'!$A:$A,A8,'Stock In'!U:U),0))</f>
        <v/>
      </c>
      <c r="H8" s="42" t="str">
        <f aca="false">IF(A8="","",IFERROR(SUMIF('Stock In'!$A:$A,A8,'Stock In'!X:X),0))</f>
        <v/>
      </c>
      <c r="I8" s="42" t="str">
        <f aca="false">IF(A8="","",IFERROR(SUMIF('Stock In'!$A:$A,A8,'Stock In'!AA:AA),0))</f>
        <v/>
      </c>
      <c r="J8" s="42" t="str">
        <f aca="false">IF(A8="","",IFERROR(SUMIF('Stock In'!$A:$A,A8,'Stock In'!AD:AD),0))</f>
        <v/>
      </c>
      <c r="K8" s="42" t="str">
        <f aca="false">IF(A8="","",IFERROR(SUMIF('Stock In'!$A:$A,A8,'Stock In'!AG:AG),0))</f>
        <v/>
      </c>
      <c r="L8" s="42" t="str">
        <f aca="false">IF(A8="","",IFERROR(SUMIF('Stock In'!$A:$A,A8,'Stock In'!AJ:AJ),0))</f>
        <v/>
      </c>
      <c r="M8" s="42" t="str">
        <f aca="false">IF(A8="","",IFERROR(SUMIF('Stock In'!$A:$A,A8,'Stock In'!AM:AM),0))</f>
        <v/>
      </c>
      <c r="N8" s="43" t="str">
        <f aca="false">IF(A8="","",SUM(B8:M8))</f>
        <v/>
      </c>
    </row>
    <row r="9" customFormat="false" ht="15.75" hidden="false" customHeight="true" outlineLevel="0" collapsed="false">
      <c r="A9" s="44"/>
      <c r="B9" s="45" t="str">
        <f aca="false">IF(A9="","",IFERROR(SUMIF('Stock In'!$A:$A,A9,'Stock In'!F:F),0))</f>
        <v/>
      </c>
      <c r="C9" s="45" t="str">
        <f aca="false">IF(A9="","",IFERROR(SUMIF('Stock In'!$A:$A,A9,'Stock In'!I:I),0))</f>
        <v/>
      </c>
      <c r="D9" s="45" t="str">
        <f aca="false">IF(A9="","",IFERROR(SUMIF('Stock In'!$A:$A,A9,'Stock In'!L:L),0))</f>
        <v/>
      </c>
      <c r="E9" s="45" t="str">
        <f aca="false">IF(A9="","",IFERROR(SUMIF('Stock In'!$A:$A,A9,'Stock In'!O:O),0))</f>
        <v/>
      </c>
      <c r="F9" s="45" t="str">
        <f aca="false">IF(A9="","",IFERROR(SUMIF('Stock In'!$A:$A,A9,'Stock In'!R:R),0))</f>
        <v/>
      </c>
      <c r="G9" s="45" t="str">
        <f aca="false">IF(A9="","",IFERROR(SUMIF('Stock In'!$A:$A,A9,'Stock In'!U:U),0))</f>
        <v/>
      </c>
      <c r="H9" s="45" t="str">
        <f aca="false">IF(A9="","",IFERROR(SUMIF('Stock In'!$A:$A,A9,'Stock In'!X:X),0))</f>
        <v/>
      </c>
      <c r="I9" s="45" t="str">
        <f aca="false">IF(A9="","",IFERROR(SUMIF('Stock In'!$A:$A,A9,'Stock In'!AA:AA),0))</f>
        <v/>
      </c>
      <c r="J9" s="45" t="str">
        <f aca="false">IF(A9="","",IFERROR(SUMIF('Stock In'!$A:$A,A9,'Stock In'!AD:AD),0))</f>
        <v/>
      </c>
      <c r="K9" s="45" t="str">
        <f aca="false">IF(A9="","",IFERROR(SUMIF('Stock In'!$A:$A,A9,'Stock In'!AG:AG),0))</f>
        <v/>
      </c>
      <c r="L9" s="45" t="str">
        <f aca="false">IF(A9="","",IFERROR(SUMIF('Stock In'!$A:$A,A9,'Stock In'!AJ:AJ),0))</f>
        <v/>
      </c>
      <c r="M9" s="45" t="str">
        <f aca="false">IF(A9="","",IFERROR(SUMIF('Stock In'!$A:$A,A9,'Stock In'!AM:AM),0))</f>
        <v/>
      </c>
      <c r="N9" s="46" t="str">
        <f aca="false">IF(A9="","",SUM(B9:M9))</f>
        <v/>
      </c>
    </row>
    <row r="10" customFormat="false" ht="15.75" hidden="false" customHeight="true" outlineLevel="0" collapsed="false">
      <c r="A10" s="41"/>
      <c r="B10" s="42" t="str">
        <f aca="false">IF(A10="","",IFERROR(SUMIF('Stock In'!$A:$A,A10,'Stock In'!F:F),0))</f>
        <v/>
      </c>
      <c r="C10" s="42" t="str">
        <f aca="false">IF(A10="","",IFERROR(SUMIF('Stock In'!$A:$A,A10,'Stock In'!I:I),0))</f>
        <v/>
      </c>
      <c r="D10" s="42" t="str">
        <f aca="false">IF(A10="","",IFERROR(SUMIF('Stock In'!$A:$A,A10,'Stock In'!L:L),0))</f>
        <v/>
      </c>
      <c r="E10" s="42" t="str">
        <f aca="false">IF(A10="","",IFERROR(SUMIF('Stock In'!$A:$A,A10,'Stock In'!O:O),0))</f>
        <v/>
      </c>
      <c r="F10" s="42" t="str">
        <f aca="false">IF(A10="","",IFERROR(SUMIF('Stock In'!$A:$A,A10,'Stock In'!R:R),0))</f>
        <v/>
      </c>
      <c r="G10" s="42" t="str">
        <f aca="false">IF(A10="","",IFERROR(SUMIF('Stock In'!$A:$A,A10,'Stock In'!U:U),0))</f>
        <v/>
      </c>
      <c r="H10" s="42" t="str">
        <f aca="false">IF(A10="","",IFERROR(SUMIF('Stock In'!$A:$A,A10,'Stock In'!X:X),0))</f>
        <v/>
      </c>
      <c r="I10" s="42" t="str">
        <f aca="false">IF(A10="","",IFERROR(SUMIF('Stock In'!$A:$A,A10,'Stock In'!AA:AA),0))</f>
        <v/>
      </c>
      <c r="J10" s="42" t="str">
        <f aca="false">IF(A10="","",IFERROR(SUMIF('Stock In'!$A:$A,A10,'Stock In'!AD:AD),0))</f>
        <v/>
      </c>
      <c r="K10" s="42" t="str">
        <f aca="false">IF(A10="","",IFERROR(SUMIF('Stock In'!$A:$A,A10,'Stock In'!AG:AG),0))</f>
        <v/>
      </c>
      <c r="L10" s="42" t="str">
        <f aca="false">IF(A10="","",IFERROR(SUMIF('Stock In'!$A:$A,A10,'Stock In'!AJ:AJ),0))</f>
        <v/>
      </c>
      <c r="M10" s="42" t="str">
        <f aca="false">IF(A10="","",IFERROR(SUMIF('Stock In'!$A:$A,A10,'Stock In'!AM:AM),0))</f>
        <v/>
      </c>
      <c r="N10" s="43" t="str">
        <f aca="false">IF(A10="","",SUM(B10:M10))</f>
        <v/>
      </c>
    </row>
    <row r="11" customFormat="false" ht="15.75" hidden="false" customHeight="true" outlineLevel="0" collapsed="false">
      <c r="A11" s="44"/>
      <c r="B11" s="45" t="str">
        <f aca="false">IF(A11="","",IFERROR(SUMIF('Stock In'!$A:$A,A11,'Stock In'!F:F),0))</f>
        <v/>
      </c>
      <c r="C11" s="45" t="str">
        <f aca="false">IF(A11="","",IFERROR(SUMIF('Stock In'!$A:$A,A11,'Stock In'!I:I),0))</f>
        <v/>
      </c>
      <c r="D11" s="45" t="str">
        <f aca="false">IF(A11="","",IFERROR(SUMIF('Stock In'!$A:$A,A11,'Stock In'!L:L),0))</f>
        <v/>
      </c>
      <c r="E11" s="45" t="str">
        <f aca="false">IF(A11="","",IFERROR(SUMIF('Stock In'!$A:$A,A11,'Stock In'!O:O),0))</f>
        <v/>
      </c>
      <c r="F11" s="45" t="str">
        <f aca="false">IF(A11="","",IFERROR(SUMIF('Stock In'!$A:$A,A11,'Stock In'!R:R),0))</f>
        <v/>
      </c>
      <c r="G11" s="45" t="str">
        <f aca="false">IF(A11="","",IFERROR(SUMIF('Stock In'!$A:$A,A11,'Stock In'!U:U),0))</f>
        <v/>
      </c>
      <c r="H11" s="45" t="str">
        <f aca="false">IF(A11="","",IFERROR(SUMIF('Stock In'!$A:$A,A11,'Stock In'!X:X),0))</f>
        <v/>
      </c>
      <c r="I11" s="45" t="str">
        <f aca="false">IF(A11="","",IFERROR(SUMIF('Stock In'!$A:$A,A11,'Stock In'!AA:AA),0))</f>
        <v/>
      </c>
      <c r="J11" s="45" t="str">
        <f aca="false">IF(A11="","",IFERROR(SUMIF('Stock In'!$A:$A,A11,'Stock In'!AD:AD),0))</f>
        <v/>
      </c>
      <c r="K11" s="45" t="str">
        <f aca="false">IF(A11="","",IFERROR(SUMIF('Stock In'!$A:$A,A11,'Stock In'!AG:AG),0))</f>
        <v/>
      </c>
      <c r="L11" s="45" t="str">
        <f aca="false">IF(A11="","",IFERROR(SUMIF('Stock In'!$A:$A,A11,'Stock In'!AJ:AJ),0))</f>
        <v/>
      </c>
      <c r="M11" s="45" t="str">
        <f aca="false">IF(A11="","",IFERROR(SUMIF('Stock In'!$A:$A,A11,'Stock In'!AM:AM),0))</f>
        <v/>
      </c>
      <c r="N11" s="46" t="str">
        <f aca="false">IF(A11="","",SUM(B11:M11))</f>
        <v/>
      </c>
    </row>
    <row r="12" customFormat="false" ht="15.75" hidden="false" customHeight="true" outlineLevel="0" collapsed="false">
      <c r="A12" s="41"/>
      <c r="B12" s="42" t="str">
        <f aca="false">IF(A12="","",IFERROR(SUMIF('Stock In'!$A:$A,A12,'Stock In'!F:F),0))</f>
        <v/>
      </c>
      <c r="C12" s="42" t="str">
        <f aca="false">IF(A12="","",IFERROR(SUMIF('Stock In'!$A:$A,A12,'Stock In'!I:I),0))</f>
        <v/>
      </c>
      <c r="D12" s="42" t="str">
        <f aca="false">IF(A12="","",IFERROR(SUMIF('Stock In'!$A:$A,A12,'Stock In'!L:L),0))</f>
        <v/>
      </c>
      <c r="E12" s="42" t="str">
        <f aca="false">IF(A12="","",IFERROR(SUMIF('Stock In'!$A:$A,A12,'Stock In'!O:O),0))</f>
        <v/>
      </c>
      <c r="F12" s="42" t="str">
        <f aca="false">IF(A12="","",IFERROR(SUMIF('Stock In'!$A:$A,A12,'Stock In'!R:R),0))</f>
        <v/>
      </c>
      <c r="G12" s="42" t="str">
        <f aca="false">IF(A12="","",IFERROR(SUMIF('Stock In'!$A:$A,A12,'Stock In'!U:U),0))</f>
        <v/>
      </c>
      <c r="H12" s="42" t="str">
        <f aca="false">IF(A12="","",IFERROR(SUMIF('Stock In'!$A:$A,A12,'Stock In'!X:X),0))</f>
        <v/>
      </c>
      <c r="I12" s="42" t="str">
        <f aca="false">IF(A12="","",IFERROR(SUMIF('Stock In'!$A:$A,A12,'Stock In'!AA:AA),0))</f>
        <v/>
      </c>
      <c r="J12" s="42" t="str">
        <f aca="false">IF(A12="","",IFERROR(SUMIF('Stock In'!$A:$A,A12,'Stock In'!AD:AD),0))</f>
        <v/>
      </c>
      <c r="K12" s="42" t="str">
        <f aca="false">IF(A12="","",IFERROR(SUMIF('Stock In'!$A:$A,A12,'Stock In'!AG:AG),0))</f>
        <v/>
      </c>
      <c r="L12" s="42" t="str">
        <f aca="false">IF(A12="","",IFERROR(SUMIF('Stock In'!$A:$A,A12,'Stock In'!AJ:AJ),0))</f>
        <v/>
      </c>
      <c r="M12" s="42" t="str">
        <f aca="false">IF(A12="","",IFERROR(SUMIF('Stock In'!$A:$A,A12,'Stock In'!AM:AM),0))</f>
        <v/>
      </c>
      <c r="N12" s="43" t="str">
        <f aca="false">IF(A12="","",SUM(B12:M12))</f>
        <v/>
      </c>
    </row>
    <row r="13" customFormat="false" ht="15.75" hidden="false" customHeight="true" outlineLevel="0" collapsed="false">
      <c r="A13" s="44"/>
      <c r="B13" s="45" t="str">
        <f aca="false">IF(A13="","",IFERROR(SUMIF('Stock In'!$A:$A,A13,'Stock In'!F:F),0))</f>
        <v/>
      </c>
      <c r="C13" s="45" t="str">
        <f aca="false">IF(A13="","",IFERROR(SUMIF('Stock In'!$A:$A,A13,'Stock In'!I:I),0))</f>
        <v/>
      </c>
      <c r="D13" s="45" t="str">
        <f aca="false">IF(A13="","",IFERROR(SUMIF('Stock In'!$A:$A,A13,'Stock In'!L:L),0))</f>
        <v/>
      </c>
      <c r="E13" s="45" t="str">
        <f aca="false">IF(A13="","",IFERROR(SUMIF('Stock In'!$A:$A,A13,'Stock In'!O:O),0))</f>
        <v/>
      </c>
      <c r="F13" s="45" t="str">
        <f aca="false">IF(A13="","",IFERROR(SUMIF('Stock In'!$A:$A,A13,'Stock In'!R:R),0))</f>
        <v/>
      </c>
      <c r="G13" s="45" t="str">
        <f aca="false">IF(A13="","",IFERROR(SUMIF('Stock In'!$A:$A,A13,'Stock In'!U:U),0))</f>
        <v/>
      </c>
      <c r="H13" s="45" t="str">
        <f aca="false">IF(A13="","",IFERROR(SUMIF('Stock In'!$A:$A,A13,'Stock In'!X:X),0))</f>
        <v/>
      </c>
      <c r="I13" s="45" t="str">
        <f aca="false">IF(A13="","",IFERROR(SUMIF('Stock In'!$A:$A,A13,'Stock In'!AA:AA),0))</f>
        <v/>
      </c>
      <c r="J13" s="45" t="str">
        <f aca="false">IF(A13="","",IFERROR(SUMIF('Stock In'!$A:$A,A13,'Stock In'!AD:AD),0))</f>
        <v/>
      </c>
      <c r="K13" s="45" t="str">
        <f aca="false">IF(A13="","",IFERROR(SUMIF('Stock In'!$A:$A,A13,'Stock In'!AG:AG),0))</f>
        <v/>
      </c>
      <c r="L13" s="45" t="str">
        <f aca="false">IF(A13="","",IFERROR(SUMIF('Stock In'!$A:$A,A13,'Stock In'!AJ:AJ),0))</f>
        <v/>
      </c>
      <c r="M13" s="45" t="str">
        <f aca="false">IF(A13="","",IFERROR(SUMIF('Stock In'!$A:$A,A13,'Stock In'!AM:AM),0))</f>
        <v/>
      </c>
      <c r="N13" s="46" t="str">
        <f aca="false">IF(A13="","",SUM(B13:M13))</f>
        <v/>
      </c>
    </row>
    <row r="14" customFormat="false" ht="15.75" hidden="false" customHeight="true" outlineLevel="0" collapsed="false">
      <c r="A14" s="41"/>
      <c r="B14" s="42" t="str">
        <f aca="false">IF(A14="","",IFERROR(SUMIF('Stock In'!$A:$A,A14,'Stock In'!F:F),0))</f>
        <v/>
      </c>
      <c r="C14" s="42" t="str">
        <f aca="false">IF(A14="","",IFERROR(SUMIF('Stock In'!$A:$A,A14,'Stock In'!I:I),0))</f>
        <v/>
      </c>
      <c r="D14" s="42" t="str">
        <f aca="false">IF(A14="","",IFERROR(SUMIF('Stock In'!$A:$A,A14,'Stock In'!L:L),0))</f>
        <v/>
      </c>
      <c r="E14" s="42" t="str">
        <f aca="false">IF(A14="","",IFERROR(SUMIF('Stock In'!$A:$A,A14,'Stock In'!O:O),0))</f>
        <v/>
      </c>
      <c r="F14" s="42" t="str">
        <f aca="false">IF(A14="","",IFERROR(SUMIF('Stock In'!$A:$A,A14,'Stock In'!R:R),0))</f>
        <v/>
      </c>
      <c r="G14" s="42" t="str">
        <f aca="false">IF(A14="","",IFERROR(SUMIF('Stock In'!$A:$A,A14,'Stock In'!U:U),0))</f>
        <v/>
      </c>
      <c r="H14" s="42" t="str">
        <f aca="false">IF(A14="","",IFERROR(SUMIF('Stock In'!$A:$A,A14,'Stock In'!X:X),0))</f>
        <v/>
      </c>
      <c r="I14" s="42" t="str">
        <f aca="false">IF(A14="","",IFERROR(SUMIF('Stock In'!$A:$A,A14,'Stock In'!AA:AA),0))</f>
        <v/>
      </c>
      <c r="J14" s="42" t="str">
        <f aca="false">IF(A14="","",IFERROR(SUMIF('Stock In'!$A:$A,A14,'Stock In'!AD:AD),0))</f>
        <v/>
      </c>
      <c r="K14" s="42" t="str">
        <f aca="false">IF(A14="","",IFERROR(SUMIF('Stock In'!$A:$A,A14,'Stock In'!AG:AG),0))</f>
        <v/>
      </c>
      <c r="L14" s="42" t="str">
        <f aca="false">IF(A14="","",IFERROR(SUMIF('Stock In'!$A:$A,A14,'Stock In'!AJ:AJ),0))</f>
        <v/>
      </c>
      <c r="M14" s="42" t="str">
        <f aca="false">IF(A14="","",IFERROR(SUMIF('Stock In'!$A:$A,A14,'Stock In'!AM:AM),0))</f>
        <v/>
      </c>
      <c r="N14" s="43" t="str">
        <f aca="false">IF(A14="","",SUM(B14:M14))</f>
        <v/>
      </c>
    </row>
    <row r="15" customFormat="false" ht="15.75" hidden="false" customHeight="true" outlineLevel="0" collapsed="false">
      <c r="A15" s="44"/>
      <c r="B15" s="45" t="str">
        <f aca="false">IF(A15="","",IFERROR(SUMIF('Stock In'!$A:$A,A15,'Stock In'!F:F),0))</f>
        <v/>
      </c>
      <c r="C15" s="45" t="str">
        <f aca="false">IF(A15="","",IFERROR(SUMIF('Stock In'!$A:$A,A15,'Stock In'!I:I),0))</f>
        <v/>
      </c>
      <c r="D15" s="45" t="str">
        <f aca="false">IF(A15="","",IFERROR(SUMIF('Stock In'!$A:$A,A15,'Stock In'!L:L),0))</f>
        <v/>
      </c>
      <c r="E15" s="45" t="str">
        <f aca="false">IF(A15="","",IFERROR(SUMIF('Stock In'!$A:$A,A15,'Stock In'!O:O),0))</f>
        <v/>
      </c>
      <c r="F15" s="45" t="str">
        <f aca="false">IF(A15="","",IFERROR(SUMIF('Stock In'!$A:$A,A15,'Stock In'!R:R),0))</f>
        <v/>
      </c>
      <c r="G15" s="45" t="str">
        <f aca="false">IF(A15="","",IFERROR(SUMIF('Stock In'!$A:$A,A15,'Stock In'!U:U),0))</f>
        <v/>
      </c>
      <c r="H15" s="45" t="str">
        <f aca="false">IF(A15="","",IFERROR(SUMIF('Stock In'!$A:$A,A15,'Stock In'!X:X),0))</f>
        <v/>
      </c>
      <c r="I15" s="45" t="str">
        <f aca="false">IF(A15="","",IFERROR(SUMIF('Stock In'!$A:$A,A15,'Stock In'!AA:AA),0))</f>
        <v/>
      </c>
      <c r="J15" s="45" t="str">
        <f aca="false">IF(A15="","",IFERROR(SUMIF('Stock In'!$A:$A,A15,'Stock In'!AD:AD),0))</f>
        <v/>
      </c>
      <c r="K15" s="45" t="str">
        <f aca="false">IF(A15="","",IFERROR(SUMIF('Stock In'!$A:$A,A15,'Stock In'!AG:AG),0))</f>
        <v/>
      </c>
      <c r="L15" s="45" t="str">
        <f aca="false">IF(A15="","",IFERROR(SUMIF('Stock In'!$A:$A,A15,'Stock In'!AJ:AJ),0))</f>
        <v/>
      </c>
      <c r="M15" s="45" t="str">
        <f aca="false">IF(A15="","",IFERROR(SUMIF('Stock In'!$A:$A,A15,'Stock In'!AM:AM),0))</f>
        <v/>
      </c>
      <c r="N15" s="46" t="str">
        <f aca="false">IF(A15="","",SUM(B15:M15))</f>
        <v/>
      </c>
    </row>
    <row r="16" customFormat="false" ht="15.75" hidden="false" customHeight="true" outlineLevel="0" collapsed="false">
      <c r="A16" s="41"/>
      <c r="B16" s="42" t="str">
        <f aca="false">IF(A16="","",IFERROR(SUMIF('Stock In'!$A:$A,A16,'Stock In'!F:F),0))</f>
        <v/>
      </c>
      <c r="C16" s="42" t="str">
        <f aca="false">IF(A16="","",IFERROR(SUMIF('Stock In'!$A:$A,A16,'Stock In'!I:I),0))</f>
        <v/>
      </c>
      <c r="D16" s="42" t="str">
        <f aca="false">IF(A16="","",IFERROR(SUMIF('Stock In'!$A:$A,A16,'Stock In'!L:L),0))</f>
        <v/>
      </c>
      <c r="E16" s="42" t="str">
        <f aca="false">IF(A16="","",IFERROR(SUMIF('Stock In'!$A:$A,A16,'Stock In'!O:O),0))</f>
        <v/>
      </c>
      <c r="F16" s="42" t="str">
        <f aca="false">IF(A16="","",IFERROR(SUMIF('Stock In'!$A:$A,A16,'Stock In'!R:R),0))</f>
        <v/>
      </c>
      <c r="G16" s="42" t="str">
        <f aca="false">IF(A16="","",IFERROR(SUMIF('Stock In'!$A:$A,A16,'Stock In'!U:U),0))</f>
        <v/>
      </c>
      <c r="H16" s="42" t="str">
        <f aca="false">IF(A16="","",IFERROR(SUMIF('Stock In'!$A:$A,A16,'Stock In'!X:X),0))</f>
        <v/>
      </c>
      <c r="I16" s="42" t="str">
        <f aca="false">IF(A16="","",IFERROR(SUMIF('Stock In'!$A:$A,A16,'Stock In'!AA:AA),0))</f>
        <v/>
      </c>
      <c r="J16" s="42" t="str">
        <f aca="false">IF(A16="","",IFERROR(SUMIF('Stock In'!$A:$A,A16,'Stock In'!AD:AD),0))</f>
        <v/>
      </c>
      <c r="K16" s="42" t="str">
        <f aca="false">IF(A16="","",IFERROR(SUMIF('Stock In'!$A:$A,A16,'Stock In'!AG:AG),0))</f>
        <v/>
      </c>
      <c r="L16" s="42" t="str">
        <f aca="false">IF(A16="","",IFERROR(SUMIF('Stock In'!$A:$A,A16,'Stock In'!AJ:AJ),0))</f>
        <v/>
      </c>
      <c r="M16" s="42" t="str">
        <f aca="false">IF(A16="","",IFERROR(SUMIF('Stock In'!$A:$A,A16,'Stock In'!AM:AM),0))</f>
        <v/>
      </c>
      <c r="N16" s="43" t="str">
        <f aca="false">IF(A16="","",SUM(B16:M16))</f>
        <v/>
      </c>
    </row>
    <row r="17" customFormat="false" ht="15.75" hidden="false" customHeight="true" outlineLevel="0" collapsed="false">
      <c r="A17" s="44"/>
      <c r="B17" s="45" t="str">
        <f aca="false">IF(A17="","",IFERROR(SUMIF('Stock In'!$A:$A,A17,'Stock In'!F:F),0))</f>
        <v/>
      </c>
      <c r="C17" s="45" t="str">
        <f aca="false">IF(A17="","",IFERROR(SUMIF('Stock In'!$A:$A,A17,'Stock In'!I:I),0))</f>
        <v/>
      </c>
      <c r="D17" s="45" t="str">
        <f aca="false">IF(A17="","",IFERROR(SUMIF('Stock In'!$A:$A,A17,'Stock In'!L:L),0))</f>
        <v/>
      </c>
      <c r="E17" s="45" t="str">
        <f aca="false">IF(A17="","",IFERROR(SUMIF('Stock In'!$A:$A,A17,'Stock In'!O:O),0))</f>
        <v/>
      </c>
      <c r="F17" s="45" t="str">
        <f aca="false">IF(A17="","",IFERROR(SUMIF('Stock In'!$A:$A,A17,'Stock In'!R:R),0))</f>
        <v/>
      </c>
      <c r="G17" s="45" t="str">
        <f aca="false">IF(A17="","",IFERROR(SUMIF('Stock In'!$A:$A,A17,'Stock In'!U:U),0))</f>
        <v/>
      </c>
      <c r="H17" s="45" t="str">
        <f aca="false">IF(A17="","",IFERROR(SUMIF('Stock In'!$A:$A,A17,'Stock In'!X:X),0))</f>
        <v/>
      </c>
      <c r="I17" s="45" t="str">
        <f aca="false">IF(A17="","",IFERROR(SUMIF('Stock In'!$A:$A,A17,'Stock In'!AA:AA),0))</f>
        <v/>
      </c>
      <c r="J17" s="45" t="str">
        <f aca="false">IF(A17="","",IFERROR(SUMIF('Stock In'!$A:$A,A17,'Stock In'!AD:AD),0))</f>
        <v/>
      </c>
      <c r="K17" s="45" t="str">
        <f aca="false">IF(A17="","",IFERROR(SUMIF('Stock In'!$A:$A,A17,'Stock In'!AG:AG),0))</f>
        <v/>
      </c>
      <c r="L17" s="45" t="str">
        <f aca="false">IF(A17="","",IFERROR(SUMIF('Stock In'!$A:$A,A17,'Stock In'!AJ:AJ),0))</f>
        <v/>
      </c>
      <c r="M17" s="45" t="str">
        <f aca="false">IF(A17="","",IFERROR(SUMIF('Stock In'!$A:$A,A17,'Stock In'!AM:AM),0))</f>
        <v/>
      </c>
      <c r="N17" s="46" t="str">
        <f aca="false">IF(A17="","",SUM(B17:M17))</f>
        <v/>
      </c>
    </row>
    <row r="18" customFormat="false" ht="15.75" hidden="false" customHeight="true" outlineLevel="0" collapsed="false">
      <c r="A18" s="41"/>
      <c r="B18" s="42" t="str">
        <f aca="false">IF(A18="","",IFERROR(SUMIF('Stock In'!$A:$A,A18,'Stock In'!F:F),0))</f>
        <v/>
      </c>
      <c r="C18" s="42" t="str">
        <f aca="false">IF(A18="","",IFERROR(SUMIF('Stock In'!$A:$A,A18,'Stock In'!I:I),0))</f>
        <v/>
      </c>
      <c r="D18" s="42" t="str">
        <f aca="false">IF(A18="","",IFERROR(SUMIF('Stock In'!$A:$A,A18,'Stock In'!L:L),0))</f>
        <v/>
      </c>
      <c r="E18" s="42" t="str">
        <f aca="false">IF(A18="","",IFERROR(SUMIF('Stock In'!$A:$A,A18,'Stock In'!O:O),0))</f>
        <v/>
      </c>
      <c r="F18" s="42" t="str">
        <f aca="false">IF(A18="","",IFERROR(SUMIF('Stock In'!$A:$A,A18,'Stock In'!R:R),0))</f>
        <v/>
      </c>
      <c r="G18" s="42" t="str">
        <f aca="false">IF(A18="","",IFERROR(SUMIF('Stock In'!$A:$A,A18,'Stock In'!U:U),0))</f>
        <v/>
      </c>
      <c r="H18" s="42" t="str">
        <f aca="false">IF(A18="","",IFERROR(SUMIF('Stock In'!$A:$A,A18,'Stock In'!X:X),0))</f>
        <v/>
      </c>
      <c r="I18" s="42" t="str">
        <f aca="false">IF(A18="","",IFERROR(SUMIF('Stock In'!$A:$A,A18,'Stock In'!AA:AA),0))</f>
        <v/>
      </c>
      <c r="J18" s="42" t="str">
        <f aca="false">IF(A18="","",IFERROR(SUMIF('Stock In'!$A:$A,A18,'Stock In'!AD:AD),0))</f>
        <v/>
      </c>
      <c r="K18" s="42" t="str">
        <f aca="false">IF(A18="","",IFERROR(SUMIF('Stock In'!$A:$A,A18,'Stock In'!AG:AG),0))</f>
        <v/>
      </c>
      <c r="L18" s="42" t="str">
        <f aca="false">IF(A18="","",IFERROR(SUMIF('Stock In'!$A:$A,A18,'Stock In'!AJ:AJ),0))</f>
        <v/>
      </c>
      <c r="M18" s="42" t="str">
        <f aca="false">IF(A18="","",IFERROR(SUMIF('Stock In'!$A:$A,A18,'Stock In'!AM:AM),0))</f>
        <v/>
      </c>
      <c r="N18" s="43" t="str">
        <f aca="false">IF(A18="","",SUM(B18:M18))</f>
        <v/>
      </c>
    </row>
    <row r="19" customFormat="false" ht="15.75" hidden="false" customHeight="true" outlineLevel="0" collapsed="false">
      <c r="A19" s="44"/>
      <c r="B19" s="45" t="str">
        <f aca="false">IF(A19="","",IFERROR(SUMIF('Stock In'!$A:$A,A19,'Stock In'!F:F),0))</f>
        <v/>
      </c>
      <c r="C19" s="45" t="str">
        <f aca="false">IF(A19="","",IFERROR(SUMIF('Stock In'!$A:$A,A19,'Stock In'!I:I),0))</f>
        <v/>
      </c>
      <c r="D19" s="45" t="str">
        <f aca="false">IF(A19="","",IFERROR(SUMIF('Stock In'!$A:$A,A19,'Stock In'!L:L),0))</f>
        <v/>
      </c>
      <c r="E19" s="45" t="str">
        <f aca="false">IF(A19="","",IFERROR(SUMIF('Stock In'!$A:$A,A19,'Stock In'!O:O),0))</f>
        <v/>
      </c>
      <c r="F19" s="45" t="str">
        <f aca="false">IF(A19="","",IFERROR(SUMIF('Stock In'!$A:$A,A19,'Stock In'!R:R),0))</f>
        <v/>
      </c>
      <c r="G19" s="45" t="str">
        <f aca="false">IF(A19="","",IFERROR(SUMIF('Stock In'!$A:$A,A19,'Stock In'!U:U),0))</f>
        <v/>
      </c>
      <c r="H19" s="45" t="str">
        <f aca="false">IF(A19="","",IFERROR(SUMIF('Stock In'!$A:$A,A19,'Stock In'!X:X),0))</f>
        <v/>
      </c>
      <c r="I19" s="45" t="str">
        <f aca="false">IF(A19="","",IFERROR(SUMIF('Stock In'!$A:$A,A19,'Stock In'!AA:AA),0))</f>
        <v/>
      </c>
      <c r="J19" s="45" t="str">
        <f aca="false">IF(A19="","",IFERROR(SUMIF('Stock In'!$A:$A,A19,'Stock In'!AD:AD),0))</f>
        <v/>
      </c>
      <c r="K19" s="45" t="str">
        <f aca="false">IF(A19="","",IFERROR(SUMIF('Stock In'!$A:$A,A19,'Stock In'!AG:AG),0))</f>
        <v/>
      </c>
      <c r="L19" s="45" t="str">
        <f aca="false">IF(A19="","",IFERROR(SUMIF('Stock In'!$A:$A,A19,'Stock In'!AJ:AJ),0))</f>
        <v/>
      </c>
      <c r="M19" s="45" t="str">
        <f aca="false">IF(A19="","",IFERROR(SUMIF('Stock In'!$A:$A,A19,'Stock In'!AM:AM),0))</f>
        <v/>
      </c>
      <c r="N19" s="46" t="str">
        <f aca="false">IF(A19="","",SUM(B19:M19))</f>
        <v/>
      </c>
    </row>
    <row r="20" customFormat="false" ht="15.75" hidden="false" customHeight="true" outlineLevel="0" collapsed="false">
      <c r="A20" s="41"/>
      <c r="B20" s="42" t="str">
        <f aca="false">IF(A20="","",IFERROR(SUMIF('Stock In'!$A:$A,A20,'Stock In'!F:F),0))</f>
        <v/>
      </c>
      <c r="C20" s="42" t="str">
        <f aca="false">IF(A20="","",IFERROR(SUMIF('Stock In'!$A:$A,A20,'Stock In'!I:I),0))</f>
        <v/>
      </c>
      <c r="D20" s="42" t="str">
        <f aca="false">IF(A20="","",IFERROR(SUMIF('Stock In'!$A:$A,A20,'Stock In'!L:L),0))</f>
        <v/>
      </c>
      <c r="E20" s="42" t="str">
        <f aca="false">IF(A20="","",IFERROR(SUMIF('Stock In'!$A:$A,A20,'Stock In'!O:O),0))</f>
        <v/>
      </c>
      <c r="F20" s="42" t="str">
        <f aca="false">IF(A20="","",IFERROR(SUMIF('Stock In'!$A:$A,A20,'Stock In'!R:R),0))</f>
        <v/>
      </c>
      <c r="G20" s="42" t="str">
        <f aca="false">IF(A20="","",IFERROR(SUMIF('Stock In'!$A:$A,A20,'Stock In'!U:U),0))</f>
        <v/>
      </c>
      <c r="H20" s="42" t="str">
        <f aca="false">IF(A20="","",IFERROR(SUMIF('Stock In'!$A:$A,A20,'Stock In'!X:X),0))</f>
        <v/>
      </c>
      <c r="I20" s="42" t="str">
        <f aca="false">IF(A20="","",IFERROR(SUMIF('Stock In'!$A:$A,A20,'Stock In'!AA:AA),0))</f>
        <v/>
      </c>
      <c r="J20" s="42" t="str">
        <f aca="false">IF(A20="","",IFERROR(SUMIF('Stock In'!$A:$A,A20,'Stock In'!AD:AD),0))</f>
        <v/>
      </c>
      <c r="K20" s="42" t="str">
        <f aca="false">IF(A20="","",IFERROR(SUMIF('Stock In'!$A:$A,A20,'Stock In'!AG:AG),0))</f>
        <v/>
      </c>
      <c r="L20" s="42" t="str">
        <f aca="false">IF(A20="","",IFERROR(SUMIF('Stock In'!$A:$A,A20,'Stock In'!AJ:AJ),0))</f>
        <v/>
      </c>
      <c r="M20" s="42" t="str">
        <f aca="false">IF(A20="","",IFERROR(SUMIF('Stock In'!$A:$A,A20,'Stock In'!AM:AM),0))</f>
        <v/>
      </c>
      <c r="N20" s="43" t="str">
        <f aca="false">IF(A20="","",SUM(B20:M20))</f>
        <v/>
      </c>
    </row>
    <row r="21" customFormat="false" ht="15.75" hidden="false" customHeight="true" outlineLevel="0" collapsed="false">
      <c r="A21" s="44"/>
      <c r="B21" s="45" t="str">
        <f aca="false">IF(A21="","",IFERROR(SUMIF('Stock In'!$A:$A,A21,'Stock In'!F:F),0))</f>
        <v/>
      </c>
      <c r="C21" s="45" t="str">
        <f aca="false">IF(A21="","",IFERROR(SUMIF('Stock In'!$A:$A,A21,'Stock In'!I:I),0))</f>
        <v/>
      </c>
      <c r="D21" s="45" t="str">
        <f aca="false">IF(A21="","",IFERROR(SUMIF('Stock In'!$A:$A,A21,'Stock In'!L:L),0))</f>
        <v/>
      </c>
      <c r="E21" s="45" t="str">
        <f aca="false">IF(A21="","",IFERROR(SUMIF('Stock In'!$A:$A,A21,'Stock In'!O:O),0))</f>
        <v/>
      </c>
      <c r="F21" s="45" t="str">
        <f aca="false">IF(A21="","",IFERROR(SUMIF('Stock In'!$A:$A,A21,'Stock In'!R:R),0))</f>
        <v/>
      </c>
      <c r="G21" s="45" t="str">
        <f aca="false">IF(A21="","",IFERROR(SUMIF('Stock In'!$A:$A,A21,'Stock In'!U:U),0))</f>
        <v/>
      </c>
      <c r="H21" s="45" t="str">
        <f aca="false">IF(A21="","",IFERROR(SUMIF('Stock In'!$A:$A,A21,'Stock In'!X:X),0))</f>
        <v/>
      </c>
      <c r="I21" s="45" t="str">
        <f aca="false">IF(A21="","",IFERROR(SUMIF('Stock In'!$A:$A,A21,'Stock In'!AA:AA),0))</f>
        <v/>
      </c>
      <c r="J21" s="45" t="str">
        <f aca="false">IF(A21="","",IFERROR(SUMIF('Stock In'!$A:$A,A21,'Stock In'!AD:AD),0))</f>
        <v/>
      </c>
      <c r="K21" s="45" t="str">
        <f aca="false">IF(A21="","",IFERROR(SUMIF('Stock In'!$A:$A,A21,'Stock In'!AG:AG),0))</f>
        <v/>
      </c>
      <c r="L21" s="45" t="str">
        <f aca="false">IF(A21="","",IFERROR(SUMIF('Stock In'!$A:$A,A21,'Stock In'!AJ:AJ),0))</f>
        <v/>
      </c>
      <c r="M21" s="45" t="str">
        <f aca="false">IF(A21="","",IFERROR(SUMIF('Stock In'!$A:$A,A21,'Stock In'!AM:AM),0))</f>
        <v/>
      </c>
      <c r="N21" s="46" t="str">
        <f aca="false">IF(A21="","",SUM(B21:M21))</f>
        <v/>
      </c>
    </row>
    <row r="22" customFormat="false" ht="15.75" hidden="false" customHeight="true" outlineLevel="0" collapsed="false">
      <c r="A22" s="41"/>
      <c r="B22" s="42" t="str">
        <f aca="false">IF(A22="","",IFERROR(SUMIF('Stock In'!$A:$A,A22,'Stock In'!F:F),0))</f>
        <v/>
      </c>
      <c r="C22" s="42" t="str">
        <f aca="false">IF(A22="","",IFERROR(SUMIF('Stock In'!$A:$A,A22,'Stock In'!I:I),0))</f>
        <v/>
      </c>
      <c r="D22" s="42" t="str">
        <f aca="false">IF(A22="","",IFERROR(SUMIF('Stock In'!$A:$A,A22,'Stock In'!L:L),0))</f>
        <v/>
      </c>
      <c r="E22" s="42" t="str">
        <f aca="false">IF(A22="","",IFERROR(SUMIF('Stock In'!$A:$A,A22,'Stock In'!O:O),0))</f>
        <v/>
      </c>
      <c r="F22" s="42" t="str">
        <f aca="false">IF(A22="","",IFERROR(SUMIF('Stock In'!$A:$A,A22,'Stock In'!R:R),0))</f>
        <v/>
      </c>
      <c r="G22" s="42" t="str">
        <f aca="false">IF(A22="","",IFERROR(SUMIF('Stock In'!$A:$A,A22,'Stock In'!U:U),0))</f>
        <v/>
      </c>
      <c r="H22" s="42" t="str">
        <f aca="false">IF(A22="","",IFERROR(SUMIF('Stock In'!$A:$A,A22,'Stock In'!X:X),0))</f>
        <v/>
      </c>
      <c r="I22" s="42" t="str">
        <f aca="false">IF(A22="","",IFERROR(SUMIF('Stock In'!$A:$A,A22,'Stock In'!AA:AA),0))</f>
        <v/>
      </c>
      <c r="J22" s="42" t="str">
        <f aca="false">IF(A22="","",IFERROR(SUMIF('Stock In'!$A:$A,A22,'Stock In'!AD:AD),0))</f>
        <v/>
      </c>
      <c r="K22" s="42" t="str">
        <f aca="false">IF(A22="","",IFERROR(SUMIF('Stock In'!$A:$A,A22,'Stock In'!AG:AG),0))</f>
        <v/>
      </c>
      <c r="L22" s="42" t="str">
        <f aca="false">IF(A22="","",IFERROR(SUMIF('Stock In'!$A:$A,A22,'Stock In'!AJ:AJ),0))</f>
        <v/>
      </c>
      <c r="M22" s="42" t="str">
        <f aca="false">IF(A22="","",IFERROR(SUMIF('Stock In'!$A:$A,A22,'Stock In'!AM:AM),0))</f>
        <v/>
      </c>
      <c r="N22" s="43" t="str">
        <f aca="false">IF(A22="","",SUM(B22:M22))</f>
        <v/>
      </c>
    </row>
    <row r="23" customFormat="false" ht="15.75" hidden="false" customHeight="true" outlineLevel="0" collapsed="false">
      <c r="A23" s="44"/>
      <c r="B23" s="45" t="str">
        <f aca="false">IF(A23="","",IFERROR(SUMIF('Stock In'!$A:$A,A23,'Stock In'!F:F),0))</f>
        <v/>
      </c>
      <c r="C23" s="45" t="str">
        <f aca="false">IF(A23="","",IFERROR(SUMIF('Stock In'!$A:$A,A23,'Stock In'!I:I),0))</f>
        <v/>
      </c>
      <c r="D23" s="45" t="str">
        <f aca="false">IF(A23="","",IFERROR(SUMIF('Stock In'!$A:$A,A23,'Stock In'!L:L),0))</f>
        <v/>
      </c>
      <c r="E23" s="45" t="str">
        <f aca="false">IF(A23="","",IFERROR(SUMIF('Stock In'!$A:$A,A23,'Stock In'!O:O),0))</f>
        <v/>
      </c>
      <c r="F23" s="45" t="str">
        <f aca="false">IF(A23="","",IFERROR(SUMIF('Stock In'!$A:$A,A23,'Stock In'!R:R),0))</f>
        <v/>
      </c>
      <c r="G23" s="45" t="str">
        <f aca="false">IF(A23="","",IFERROR(SUMIF('Stock In'!$A:$A,A23,'Stock In'!U:U),0))</f>
        <v/>
      </c>
      <c r="H23" s="45" t="str">
        <f aca="false">IF(A23="","",IFERROR(SUMIF('Stock In'!$A:$A,A23,'Stock In'!X:X),0))</f>
        <v/>
      </c>
      <c r="I23" s="45" t="str">
        <f aca="false">IF(A23="","",IFERROR(SUMIF('Stock In'!$A:$A,A23,'Stock In'!AA:AA),0))</f>
        <v/>
      </c>
      <c r="J23" s="45" t="str">
        <f aca="false">IF(A23="","",IFERROR(SUMIF('Stock In'!$A:$A,A23,'Stock In'!AD:AD),0))</f>
        <v/>
      </c>
      <c r="K23" s="45" t="str">
        <f aca="false">IF(A23="","",IFERROR(SUMIF('Stock In'!$A:$A,A23,'Stock In'!AG:AG),0))</f>
        <v/>
      </c>
      <c r="L23" s="45" t="str">
        <f aca="false">IF(A23="","",IFERROR(SUMIF('Stock In'!$A:$A,A23,'Stock In'!AJ:AJ),0))</f>
        <v/>
      </c>
      <c r="M23" s="45" t="str">
        <f aca="false">IF(A23="","",IFERROR(SUMIF('Stock In'!$A:$A,A23,'Stock In'!AM:AM),0))</f>
        <v/>
      </c>
      <c r="N23" s="46" t="str">
        <f aca="false">IF(A23="","",SUM(B23:M23))</f>
        <v/>
      </c>
    </row>
    <row r="24" customFormat="false" ht="15.75" hidden="false" customHeight="true" outlineLevel="0" collapsed="false">
      <c r="A24" s="41"/>
      <c r="B24" s="42" t="str">
        <f aca="false">IF(A24="","",IFERROR(SUMIF('Stock In'!$A:$A,A24,'Stock In'!F:F),0))</f>
        <v/>
      </c>
      <c r="C24" s="42" t="str">
        <f aca="false">IF(A24="","",IFERROR(SUMIF('Stock In'!$A:$A,A24,'Stock In'!I:I),0))</f>
        <v/>
      </c>
      <c r="D24" s="42" t="str">
        <f aca="false">IF(A24="","",IFERROR(SUMIF('Stock In'!$A:$A,A24,'Stock In'!L:L),0))</f>
        <v/>
      </c>
      <c r="E24" s="42" t="str">
        <f aca="false">IF(A24="","",IFERROR(SUMIF('Stock In'!$A:$A,A24,'Stock In'!O:O),0))</f>
        <v/>
      </c>
      <c r="F24" s="42" t="str">
        <f aca="false">IF(A24="","",IFERROR(SUMIF('Stock In'!$A:$A,A24,'Stock In'!R:R),0))</f>
        <v/>
      </c>
      <c r="G24" s="42" t="str">
        <f aca="false">IF(A24="","",IFERROR(SUMIF('Stock In'!$A:$A,A24,'Stock In'!U:U),0))</f>
        <v/>
      </c>
      <c r="H24" s="42" t="str">
        <f aca="false">IF(A24="","",IFERROR(SUMIF('Stock In'!$A:$A,A24,'Stock In'!X:X),0))</f>
        <v/>
      </c>
      <c r="I24" s="42" t="str">
        <f aca="false">IF(A24="","",IFERROR(SUMIF('Stock In'!$A:$A,A24,'Stock In'!AA:AA),0))</f>
        <v/>
      </c>
      <c r="J24" s="42" t="str">
        <f aca="false">IF(A24="","",IFERROR(SUMIF('Stock In'!$A:$A,A24,'Stock In'!AD:AD),0))</f>
        <v/>
      </c>
      <c r="K24" s="42" t="str">
        <f aca="false">IF(A24="","",IFERROR(SUMIF('Stock In'!$A:$A,A24,'Stock In'!AG:AG),0))</f>
        <v/>
      </c>
      <c r="L24" s="42" t="str">
        <f aca="false">IF(A24="","",IFERROR(SUMIF('Stock In'!$A:$A,A24,'Stock In'!AJ:AJ),0))</f>
        <v/>
      </c>
      <c r="M24" s="42" t="str">
        <f aca="false">IF(A24="","",IFERROR(SUMIF('Stock In'!$A:$A,A24,'Stock In'!AM:AM),0))</f>
        <v/>
      </c>
      <c r="N24" s="43" t="str">
        <f aca="false">IF(A24="","",SUM(B24:M24))</f>
        <v/>
      </c>
    </row>
    <row r="25" customFormat="false" ht="15.75" hidden="false" customHeight="true" outlineLevel="0" collapsed="false">
      <c r="A25" s="44"/>
      <c r="B25" s="45" t="str">
        <f aca="false">IF(A25="","",IFERROR(SUMIF('Stock In'!$A:$A,A25,'Stock In'!F:F),0))</f>
        <v/>
      </c>
      <c r="C25" s="45" t="str">
        <f aca="false">IF(A25="","",IFERROR(SUMIF('Stock In'!$A:$A,A25,'Stock In'!I:I),0))</f>
        <v/>
      </c>
      <c r="D25" s="45" t="str">
        <f aca="false">IF(A25="","",IFERROR(SUMIF('Stock In'!$A:$A,A25,'Stock In'!L:L),0))</f>
        <v/>
      </c>
      <c r="E25" s="45" t="str">
        <f aca="false">IF(A25="","",IFERROR(SUMIF('Stock In'!$A:$A,A25,'Stock In'!O:O),0))</f>
        <v/>
      </c>
      <c r="F25" s="45" t="str">
        <f aca="false">IF(A25="","",IFERROR(SUMIF('Stock In'!$A:$A,A25,'Stock In'!R:R),0))</f>
        <v/>
      </c>
      <c r="G25" s="45" t="str">
        <f aca="false">IF(A25="","",IFERROR(SUMIF('Stock In'!$A:$A,A25,'Stock In'!U:U),0))</f>
        <v/>
      </c>
      <c r="H25" s="45" t="str">
        <f aca="false">IF(A25="","",IFERROR(SUMIF('Stock In'!$A:$A,A25,'Stock In'!X:X),0))</f>
        <v/>
      </c>
      <c r="I25" s="45" t="str">
        <f aca="false">IF(A25="","",IFERROR(SUMIF('Stock In'!$A:$A,A25,'Stock In'!AA:AA),0))</f>
        <v/>
      </c>
      <c r="J25" s="45" t="str">
        <f aca="false">IF(A25="","",IFERROR(SUMIF('Stock In'!$A:$A,A25,'Stock In'!AD:AD),0))</f>
        <v/>
      </c>
      <c r="K25" s="45" t="str">
        <f aca="false">IF(A25="","",IFERROR(SUMIF('Stock In'!$A:$A,A25,'Stock In'!AG:AG),0))</f>
        <v/>
      </c>
      <c r="L25" s="45" t="str">
        <f aca="false">IF(A25="","",IFERROR(SUMIF('Stock In'!$A:$A,A25,'Stock In'!AJ:AJ),0))</f>
        <v/>
      </c>
      <c r="M25" s="45" t="str">
        <f aca="false">IF(A25="","",IFERROR(SUMIF('Stock In'!$A:$A,A25,'Stock In'!AM:AM),0))</f>
        <v/>
      </c>
      <c r="N25" s="46" t="str">
        <f aca="false">IF(A25="","",SUM(B25:M25))</f>
        <v/>
      </c>
    </row>
    <row r="26" customFormat="false" ht="15.75" hidden="false" customHeight="true" outlineLevel="0" collapsed="false">
      <c r="A26" s="41"/>
      <c r="B26" s="42" t="str">
        <f aca="false">IF(A26="","",IFERROR(SUMIF('Stock In'!$A:$A,A26,'Stock In'!F:F),0))</f>
        <v/>
      </c>
      <c r="C26" s="42" t="str">
        <f aca="false">IF(A26="","",IFERROR(SUMIF('Stock In'!$A:$A,A26,'Stock In'!I:I),0))</f>
        <v/>
      </c>
      <c r="D26" s="42" t="str">
        <f aca="false">IF(A26="","",IFERROR(SUMIF('Stock In'!$A:$A,A26,'Stock In'!L:L),0))</f>
        <v/>
      </c>
      <c r="E26" s="42" t="str">
        <f aca="false">IF(A26="","",IFERROR(SUMIF('Stock In'!$A:$A,A26,'Stock In'!O:O),0))</f>
        <v/>
      </c>
      <c r="F26" s="42" t="str">
        <f aca="false">IF(A26="","",IFERROR(SUMIF('Stock In'!$A:$A,A26,'Stock In'!R:R),0))</f>
        <v/>
      </c>
      <c r="G26" s="42" t="str">
        <f aca="false">IF(A26="","",IFERROR(SUMIF('Stock In'!$A:$A,A26,'Stock In'!U:U),0))</f>
        <v/>
      </c>
      <c r="H26" s="42" t="str">
        <f aca="false">IF(A26="","",IFERROR(SUMIF('Stock In'!$A:$A,A26,'Stock In'!X:X),0))</f>
        <v/>
      </c>
      <c r="I26" s="42" t="str">
        <f aca="false">IF(A26="","",IFERROR(SUMIF('Stock In'!$A:$A,A26,'Stock In'!AA:AA),0))</f>
        <v/>
      </c>
      <c r="J26" s="42" t="str">
        <f aca="false">IF(A26="","",IFERROR(SUMIF('Stock In'!$A:$A,A26,'Stock In'!AD:AD),0))</f>
        <v/>
      </c>
      <c r="K26" s="42" t="str">
        <f aca="false">IF(A26="","",IFERROR(SUMIF('Stock In'!$A:$A,A26,'Stock In'!AG:AG),0))</f>
        <v/>
      </c>
      <c r="L26" s="42" t="str">
        <f aca="false">IF(A26="","",IFERROR(SUMIF('Stock In'!$A:$A,A26,'Stock In'!AJ:AJ),0))</f>
        <v/>
      </c>
      <c r="M26" s="42" t="str">
        <f aca="false">IF(A26="","",IFERROR(SUMIF('Stock In'!$A:$A,A26,'Stock In'!AM:AM),0))</f>
        <v/>
      </c>
      <c r="N26" s="43" t="str">
        <f aca="false">IF(A26="","",SUM(B26:M26))</f>
        <v/>
      </c>
    </row>
    <row r="27" customFormat="false" ht="15.75" hidden="false" customHeight="true" outlineLevel="0" collapsed="false">
      <c r="A27" s="44"/>
      <c r="B27" s="45" t="str">
        <f aca="false">IF(A27="","",IFERROR(SUMIF('Stock In'!$A:$A,A27,'Stock In'!F:F),0))</f>
        <v/>
      </c>
      <c r="C27" s="45" t="str">
        <f aca="false">IF(A27="","",IFERROR(SUMIF('Stock In'!$A:$A,A27,'Stock In'!I:I),0))</f>
        <v/>
      </c>
      <c r="D27" s="45" t="str">
        <f aca="false">IF(A27="","",IFERROR(SUMIF('Stock In'!$A:$A,A27,'Stock In'!L:L),0))</f>
        <v/>
      </c>
      <c r="E27" s="45" t="str">
        <f aca="false">IF(A27="","",IFERROR(SUMIF('Stock In'!$A:$A,A27,'Stock In'!O:O),0))</f>
        <v/>
      </c>
      <c r="F27" s="45" t="str">
        <f aca="false">IF(A27="","",IFERROR(SUMIF('Stock In'!$A:$A,A27,'Stock In'!R:R),0))</f>
        <v/>
      </c>
      <c r="G27" s="45" t="str">
        <f aca="false">IF(A27="","",IFERROR(SUMIF('Stock In'!$A:$A,A27,'Stock In'!U:U),0))</f>
        <v/>
      </c>
      <c r="H27" s="45" t="str">
        <f aca="false">IF(A27="","",IFERROR(SUMIF('Stock In'!$A:$A,A27,'Stock In'!X:X),0))</f>
        <v/>
      </c>
      <c r="I27" s="45" t="str">
        <f aca="false">IF(A27="","",IFERROR(SUMIF('Stock In'!$A:$A,A27,'Stock In'!AA:AA),0))</f>
        <v/>
      </c>
      <c r="J27" s="45" t="str">
        <f aca="false">IF(A27="","",IFERROR(SUMIF('Stock In'!$A:$A,A27,'Stock In'!AD:AD),0))</f>
        <v/>
      </c>
      <c r="K27" s="45" t="str">
        <f aca="false">IF(A27="","",IFERROR(SUMIF('Stock In'!$A:$A,A27,'Stock In'!AG:AG),0))</f>
        <v/>
      </c>
      <c r="L27" s="45" t="str">
        <f aca="false">IF(A27="","",IFERROR(SUMIF('Stock In'!$A:$A,A27,'Stock In'!AJ:AJ),0))</f>
        <v/>
      </c>
      <c r="M27" s="45" t="str">
        <f aca="false">IF(A27="","",IFERROR(SUMIF('Stock In'!$A:$A,A27,'Stock In'!AM:AM),0))</f>
        <v/>
      </c>
      <c r="N27" s="46" t="str">
        <f aca="false">IF(A27="","",SUM(B27:M27))</f>
        <v/>
      </c>
    </row>
    <row r="28" customFormat="false" ht="15.75" hidden="false" customHeight="true" outlineLevel="0" collapsed="false">
      <c r="A28" s="41"/>
      <c r="B28" s="42" t="str">
        <f aca="false">IF(A28="","",IFERROR(SUMIF('Stock In'!$A:$A,A28,'Stock In'!F:F),0))</f>
        <v/>
      </c>
      <c r="C28" s="42" t="str">
        <f aca="false">IF(A28="","",IFERROR(SUMIF('Stock In'!$A:$A,A28,'Stock In'!I:I),0))</f>
        <v/>
      </c>
      <c r="D28" s="42" t="str">
        <f aca="false">IF(A28="","",IFERROR(SUMIF('Stock In'!$A:$A,A28,'Stock In'!L:L),0))</f>
        <v/>
      </c>
      <c r="E28" s="42" t="str">
        <f aca="false">IF(A28="","",IFERROR(SUMIF('Stock In'!$A:$A,A28,'Stock In'!O:O),0))</f>
        <v/>
      </c>
      <c r="F28" s="42" t="str">
        <f aca="false">IF(A28="","",IFERROR(SUMIF('Stock In'!$A:$A,A28,'Stock In'!R:R),0))</f>
        <v/>
      </c>
      <c r="G28" s="42" t="str">
        <f aca="false">IF(A28="","",IFERROR(SUMIF('Stock In'!$A:$A,A28,'Stock In'!U:U),0))</f>
        <v/>
      </c>
      <c r="H28" s="42" t="str">
        <f aca="false">IF(A28="","",IFERROR(SUMIF('Stock In'!$A:$A,A28,'Stock In'!X:X),0))</f>
        <v/>
      </c>
      <c r="I28" s="42" t="str">
        <f aca="false">IF(A28="","",IFERROR(SUMIF('Stock In'!$A:$A,A28,'Stock In'!AA:AA),0))</f>
        <v/>
      </c>
      <c r="J28" s="42" t="str">
        <f aca="false">IF(A28="","",IFERROR(SUMIF('Stock In'!$A:$A,A28,'Stock In'!AD:AD),0))</f>
        <v/>
      </c>
      <c r="K28" s="42" t="str">
        <f aca="false">IF(A28="","",IFERROR(SUMIF('Stock In'!$A:$A,A28,'Stock In'!AG:AG),0))</f>
        <v/>
      </c>
      <c r="L28" s="42" t="str">
        <f aca="false">IF(A28="","",IFERROR(SUMIF('Stock In'!$A:$A,A28,'Stock In'!AJ:AJ),0))</f>
        <v/>
      </c>
      <c r="M28" s="42" t="str">
        <f aca="false">IF(A28="","",IFERROR(SUMIF('Stock In'!$A:$A,A28,'Stock In'!AM:AM),0))</f>
        <v/>
      </c>
      <c r="N28" s="43" t="str">
        <f aca="false">IF(A28="","",SUM(B28:M28))</f>
        <v/>
      </c>
    </row>
    <row r="29" customFormat="false" ht="15.75" hidden="false" customHeight="true" outlineLevel="0" collapsed="false">
      <c r="A29" s="44"/>
      <c r="B29" s="45" t="str">
        <f aca="false">IF(A29="","",IFERROR(SUMIF('Stock In'!$A:$A,A29,'Stock In'!F:F),0))</f>
        <v/>
      </c>
      <c r="C29" s="45" t="str">
        <f aca="false">IF(A29="","",IFERROR(SUMIF('Stock In'!$A:$A,A29,'Stock In'!I:I),0))</f>
        <v/>
      </c>
      <c r="D29" s="45" t="str">
        <f aca="false">IF(A29="","",IFERROR(SUMIF('Stock In'!$A:$A,A29,'Stock In'!L:L),0))</f>
        <v/>
      </c>
      <c r="E29" s="45" t="str">
        <f aca="false">IF(A29="","",IFERROR(SUMIF('Stock In'!$A:$A,A29,'Stock In'!O:O),0))</f>
        <v/>
      </c>
      <c r="F29" s="45" t="str">
        <f aca="false">IF(A29="","",IFERROR(SUMIF('Stock In'!$A:$A,A29,'Stock In'!R:R),0))</f>
        <v/>
      </c>
      <c r="G29" s="45" t="str">
        <f aca="false">IF(A29="","",IFERROR(SUMIF('Stock In'!$A:$A,A29,'Stock In'!U:U),0))</f>
        <v/>
      </c>
      <c r="H29" s="45" t="str">
        <f aca="false">IF(A29="","",IFERROR(SUMIF('Stock In'!$A:$A,A29,'Stock In'!X:X),0))</f>
        <v/>
      </c>
      <c r="I29" s="45" t="str">
        <f aca="false">IF(A29="","",IFERROR(SUMIF('Stock In'!$A:$A,A29,'Stock In'!AA:AA),0))</f>
        <v/>
      </c>
      <c r="J29" s="45" t="str">
        <f aca="false">IF(A29="","",IFERROR(SUMIF('Stock In'!$A:$A,A29,'Stock In'!AD:AD),0))</f>
        <v/>
      </c>
      <c r="K29" s="45" t="str">
        <f aca="false">IF(A29="","",IFERROR(SUMIF('Stock In'!$A:$A,A29,'Stock In'!AG:AG),0))</f>
        <v/>
      </c>
      <c r="L29" s="45" t="str">
        <f aca="false">IF(A29="","",IFERROR(SUMIF('Stock In'!$A:$A,A29,'Stock In'!AJ:AJ),0))</f>
        <v/>
      </c>
      <c r="M29" s="45" t="str">
        <f aca="false">IF(A29="","",IFERROR(SUMIF('Stock In'!$A:$A,A29,'Stock In'!AM:AM),0))</f>
        <v/>
      </c>
      <c r="N29" s="46" t="str">
        <f aca="false">IF(A29="","",SUM(B29:M29))</f>
        <v/>
      </c>
    </row>
    <row r="30" customFormat="false" ht="15.75" hidden="false" customHeight="true" outlineLevel="0" collapsed="false">
      <c r="A30" s="41"/>
      <c r="B30" s="42" t="str">
        <f aca="false">IF(A30="","",IFERROR(SUMIF('Stock In'!$A:$A,A30,'Stock In'!F:F),0))</f>
        <v/>
      </c>
      <c r="C30" s="42" t="str">
        <f aca="false">IF(A30="","",IFERROR(SUMIF('Stock In'!$A:$A,A30,'Stock In'!I:I),0))</f>
        <v/>
      </c>
      <c r="D30" s="42" t="str">
        <f aca="false">IF(A30="","",IFERROR(SUMIF('Stock In'!$A:$A,A30,'Stock In'!L:L),0))</f>
        <v/>
      </c>
      <c r="E30" s="42" t="str">
        <f aca="false">IF(A30="","",IFERROR(SUMIF('Stock In'!$A:$A,A30,'Stock In'!O:O),0))</f>
        <v/>
      </c>
      <c r="F30" s="42" t="str">
        <f aca="false">IF(A30="","",IFERROR(SUMIF('Stock In'!$A:$A,A30,'Stock In'!R:R),0))</f>
        <v/>
      </c>
      <c r="G30" s="42" t="str">
        <f aca="false">IF(A30="","",IFERROR(SUMIF('Stock In'!$A:$A,A30,'Stock In'!U:U),0))</f>
        <v/>
      </c>
      <c r="H30" s="42" t="str">
        <f aca="false">IF(A30="","",IFERROR(SUMIF('Stock In'!$A:$A,A30,'Stock In'!X:X),0))</f>
        <v/>
      </c>
      <c r="I30" s="42" t="str">
        <f aca="false">IF(A30="","",IFERROR(SUMIF('Stock In'!$A:$A,A30,'Stock In'!AA:AA),0))</f>
        <v/>
      </c>
      <c r="J30" s="42" t="str">
        <f aca="false">IF(A30="","",IFERROR(SUMIF('Stock In'!$A:$A,A30,'Stock In'!AD:AD),0))</f>
        <v/>
      </c>
      <c r="K30" s="42" t="str">
        <f aca="false">IF(A30="","",IFERROR(SUMIF('Stock In'!$A:$A,A30,'Stock In'!AG:AG),0))</f>
        <v/>
      </c>
      <c r="L30" s="42" t="str">
        <f aca="false">IF(A30="","",IFERROR(SUMIF('Stock In'!$A:$A,A30,'Stock In'!AJ:AJ),0))</f>
        <v/>
      </c>
      <c r="M30" s="42" t="str">
        <f aca="false">IF(A30="","",IFERROR(SUMIF('Stock In'!$A:$A,A30,'Stock In'!AM:AM),0))</f>
        <v/>
      </c>
      <c r="N30" s="43" t="str">
        <f aca="false">IF(A30="","",SUM(B30:M30))</f>
        <v/>
      </c>
    </row>
    <row r="31" customFormat="false" ht="15.75" hidden="false" customHeight="true" outlineLevel="0" collapsed="false">
      <c r="A31" s="44"/>
      <c r="B31" s="45" t="str">
        <f aca="false">IF(A31="","",IFERROR(SUMIF('Stock In'!$A:$A,A31,'Stock In'!F:F),0))</f>
        <v/>
      </c>
      <c r="C31" s="45" t="str">
        <f aca="false">IF(A31="","",IFERROR(SUMIF('Stock In'!$A:$A,A31,'Stock In'!I:I),0))</f>
        <v/>
      </c>
      <c r="D31" s="45" t="str">
        <f aca="false">IF(A31="","",IFERROR(SUMIF('Stock In'!$A:$A,A31,'Stock In'!L:L),0))</f>
        <v/>
      </c>
      <c r="E31" s="45" t="str">
        <f aca="false">IF(A31="","",IFERROR(SUMIF('Stock In'!$A:$A,A31,'Stock In'!O:O),0))</f>
        <v/>
      </c>
      <c r="F31" s="45" t="str">
        <f aca="false">IF(A31="","",IFERROR(SUMIF('Stock In'!$A:$A,A31,'Stock In'!R:R),0))</f>
        <v/>
      </c>
      <c r="G31" s="45" t="str">
        <f aca="false">IF(A31="","",IFERROR(SUMIF('Stock In'!$A:$A,A31,'Stock In'!U:U),0))</f>
        <v/>
      </c>
      <c r="H31" s="45" t="str">
        <f aca="false">IF(A31="","",IFERROR(SUMIF('Stock In'!$A:$A,A31,'Stock In'!X:X),0))</f>
        <v/>
      </c>
      <c r="I31" s="45" t="str">
        <f aca="false">IF(A31="","",IFERROR(SUMIF('Stock In'!$A:$A,A31,'Stock In'!AA:AA),0))</f>
        <v/>
      </c>
      <c r="J31" s="45" t="str">
        <f aca="false">IF(A31="","",IFERROR(SUMIF('Stock In'!$A:$A,A31,'Stock In'!AD:AD),0))</f>
        <v/>
      </c>
      <c r="K31" s="45" t="str">
        <f aca="false">IF(A31="","",IFERROR(SUMIF('Stock In'!$A:$A,A31,'Stock In'!AG:AG),0))</f>
        <v/>
      </c>
      <c r="L31" s="45" t="str">
        <f aca="false">IF(A31="","",IFERROR(SUMIF('Stock In'!$A:$A,A31,'Stock In'!AJ:AJ),0))</f>
        <v/>
      </c>
      <c r="M31" s="45" t="str">
        <f aca="false">IF(A31="","",IFERROR(SUMIF('Stock In'!$A:$A,A31,'Stock In'!AM:AM),0))</f>
        <v/>
      </c>
      <c r="N31" s="46" t="str">
        <f aca="false">IF(A31="","",SUM(B31:M31))</f>
        <v/>
      </c>
    </row>
    <row r="32" customFormat="false" ht="15.75" hidden="false" customHeight="true" outlineLevel="0" collapsed="false">
      <c r="A32" s="41"/>
      <c r="B32" s="42" t="str">
        <f aca="false">IF(A32="","",IFERROR(SUMIF('Stock In'!$A:$A,A32,'Stock In'!F:F),0))</f>
        <v/>
      </c>
      <c r="C32" s="42" t="str">
        <f aca="false">IF(A32="","",IFERROR(SUMIF('Stock In'!$A:$A,A32,'Stock In'!I:I),0))</f>
        <v/>
      </c>
      <c r="D32" s="42" t="str">
        <f aca="false">IF(A32="","",IFERROR(SUMIF('Stock In'!$A:$A,A32,'Stock In'!L:L),0))</f>
        <v/>
      </c>
      <c r="E32" s="42" t="str">
        <f aca="false">IF(A32="","",IFERROR(SUMIF('Stock In'!$A:$A,A32,'Stock In'!O:O),0))</f>
        <v/>
      </c>
      <c r="F32" s="42" t="str">
        <f aca="false">IF(A32="","",IFERROR(SUMIF('Stock In'!$A:$A,A32,'Stock In'!R:R),0))</f>
        <v/>
      </c>
      <c r="G32" s="42" t="str">
        <f aca="false">IF(A32="","",IFERROR(SUMIF('Stock In'!$A:$A,A32,'Stock In'!U:U),0))</f>
        <v/>
      </c>
      <c r="H32" s="42" t="str">
        <f aca="false">IF(A32="","",IFERROR(SUMIF('Stock In'!$A:$A,A32,'Stock In'!X:X),0))</f>
        <v/>
      </c>
      <c r="I32" s="42" t="str">
        <f aca="false">IF(A32="","",IFERROR(SUMIF('Stock In'!$A:$A,A32,'Stock In'!AA:AA),0))</f>
        <v/>
      </c>
      <c r="J32" s="42" t="str">
        <f aca="false">IF(A32="","",IFERROR(SUMIF('Stock In'!$A:$A,A32,'Stock In'!AD:AD),0))</f>
        <v/>
      </c>
      <c r="K32" s="42" t="str">
        <f aca="false">IF(A32="","",IFERROR(SUMIF('Stock In'!$A:$A,A32,'Stock In'!AG:AG),0))</f>
        <v/>
      </c>
      <c r="L32" s="42" t="str">
        <f aca="false">IF(A32="","",IFERROR(SUMIF('Stock In'!$A:$A,A32,'Stock In'!AJ:AJ),0))</f>
        <v/>
      </c>
      <c r="M32" s="42" t="str">
        <f aca="false">IF(A32="","",IFERROR(SUMIF('Stock In'!$A:$A,A32,'Stock In'!AM:AM),0))</f>
        <v/>
      </c>
      <c r="N32" s="43" t="str">
        <f aca="false">IF(A32="","",SUM(B32:M32))</f>
        <v/>
      </c>
    </row>
    <row r="33" customFormat="false" ht="15.75" hidden="false" customHeight="true" outlineLevel="0" collapsed="false">
      <c r="A33" s="44"/>
      <c r="B33" s="45" t="str">
        <f aca="false">IF(A33="","",IFERROR(SUMIF('Stock In'!$A:$A,A33,'Stock In'!F:F),0))</f>
        <v/>
      </c>
      <c r="C33" s="45" t="str">
        <f aca="false">IF(A33="","",IFERROR(SUMIF('Stock In'!$A:$A,A33,'Stock In'!I:I),0))</f>
        <v/>
      </c>
      <c r="D33" s="45" t="str">
        <f aca="false">IF(A33="","",IFERROR(SUMIF('Stock In'!$A:$A,A33,'Stock In'!L:L),0))</f>
        <v/>
      </c>
      <c r="E33" s="45" t="str">
        <f aca="false">IF(A33="","",IFERROR(SUMIF('Stock In'!$A:$A,A33,'Stock In'!O:O),0))</f>
        <v/>
      </c>
      <c r="F33" s="45" t="str">
        <f aca="false">IF(A33="","",IFERROR(SUMIF('Stock In'!$A:$A,A33,'Stock In'!R:R),0))</f>
        <v/>
      </c>
      <c r="G33" s="45" t="str">
        <f aca="false">IF(A33="","",IFERROR(SUMIF('Stock In'!$A:$A,A33,'Stock In'!U:U),0))</f>
        <v/>
      </c>
      <c r="H33" s="45" t="str">
        <f aca="false">IF(A33="","",IFERROR(SUMIF('Stock In'!$A:$A,A33,'Stock In'!X:X),0))</f>
        <v/>
      </c>
      <c r="I33" s="45" t="str">
        <f aca="false">IF(A33="","",IFERROR(SUMIF('Stock In'!$A:$A,A33,'Stock In'!AA:AA),0))</f>
        <v/>
      </c>
      <c r="J33" s="45" t="str">
        <f aca="false">IF(A33="","",IFERROR(SUMIF('Stock In'!$A:$A,A33,'Stock In'!AD:AD),0))</f>
        <v/>
      </c>
      <c r="K33" s="45" t="str">
        <f aca="false">IF(A33="","",IFERROR(SUMIF('Stock In'!$A:$A,A33,'Stock In'!AG:AG),0))</f>
        <v/>
      </c>
      <c r="L33" s="45" t="str">
        <f aca="false">IF(A33="","",IFERROR(SUMIF('Stock In'!$A:$A,A33,'Stock In'!AJ:AJ),0))</f>
        <v/>
      </c>
      <c r="M33" s="45" t="str">
        <f aca="false">IF(A33="","",IFERROR(SUMIF('Stock In'!$A:$A,A33,'Stock In'!AM:AM),0))</f>
        <v/>
      </c>
      <c r="N33" s="46" t="str">
        <f aca="false">IF(A33="","",SUM(B33:M33))</f>
        <v/>
      </c>
    </row>
    <row r="34" customFormat="false" ht="15.75" hidden="false" customHeight="true" outlineLevel="0" collapsed="false">
      <c r="A34" s="41"/>
      <c r="B34" s="42" t="str">
        <f aca="false">IF(A34="","",IFERROR(SUMIF('Stock In'!$A:$A,A34,'Stock In'!F:F),0))</f>
        <v/>
      </c>
      <c r="C34" s="42" t="str">
        <f aca="false">IF(A34="","",IFERROR(SUMIF('Stock In'!$A:$A,A34,'Stock In'!I:I),0))</f>
        <v/>
      </c>
      <c r="D34" s="42" t="str">
        <f aca="false">IF(A34="","",IFERROR(SUMIF('Stock In'!$A:$A,A34,'Stock In'!L:L),0))</f>
        <v/>
      </c>
      <c r="E34" s="42" t="str">
        <f aca="false">IF(A34="","",IFERROR(SUMIF('Stock In'!$A:$A,A34,'Stock In'!O:O),0))</f>
        <v/>
      </c>
      <c r="F34" s="42" t="str">
        <f aca="false">IF(A34="","",IFERROR(SUMIF('Stock In'!$A:$A,A34,'Stock In'!R:R),0))</f>
        <v/>
      </c>
      <c r="G34" s="42" t="str">
        <f aca="false">IF(A34="","",IFERROR(SUMIF('Stock In'!$A:$A,A34,'Stock In'!U:U),0))</f>
        <v/>
      </c>
      <c r="H34" s="42" t="str">
        <f aca="false">IF(A34="","",IFERROR(SUMIF('Stock In'!$A:$A,A34,'Stock In'!X:X),0))</f>
        <v/>
      </c>
      <c r="I34" s="42" t="str">
        <f aca="false">IF(A34="","",IFERROR(SUMIF('Stock In'!$A:$A,A34,'Stock In'!AA:AA),0))</f>
        <v/>
      </c>
      <c r="J34" s="42" t="str">
        <f aca="false">IF(A34="","",IFERROR(SUMIF('Stock In'!$A:$A,A34,'Stock In'!AD:AD),0))</f>
        <v/>
      </c>
      <c r="K34" s="42" t="str">
        <f aca="false">IF(A34="","",IFERROR(SUMIF('Stock In'!$A:$A,A34,'Stock In'!AG:AG),0))</f>
        <v/>
      </c>
      <c r="L34" s="42" t="str">
        <f aca="false">IF(A34="","",IFERROR(SUMIF('Stock In'!$A:$A,A34,'Stock In'!AJ:AJ),0))</f>
        <v/>
      </c>
      <c r="M34" s="42" t="str">
        <f aca="false">IF(A34="","",IFERROR(SUMIF('Stock In'!$A:$A,A34,'Stock In'!AM:AM),0))</f>
        <v/>
      </c>
      <c r="N34" s="43" t="str">
        <f aca="false">IF(A34="","",SUM(B34:M34))</f>
        <v/>
      </c>
    </row>
    <row r="35" customFormat="false" ht="15.75" hidden="false" customHeight="true" outlineLevel="0" collapsed="false">
      <c r="A35" s="44"/>
      <c r="B35" s="45" t="str">
        <f aca="false">IF(A35="","",IFERROR(SUMIF('Stock In'!$A:$A,A35,'Stock In'!F:F),0))</f>
        <v/>
      </c>
      <c r="C35" s="45" t="str">
        <f aca="false">IF(A35="","",IFERROR(SUMIF('Stock In'!$A:$A,A35,'Stock In'!I:I),0))</f>
        <v/>
      </c>
      <c r="D35" s="45" t="str">
        <f aca="false">IF(A35="","",IFERROR(SUMIF('Stock In'!$A:$A,A35,'Stock In'!L:L),0))</f>
        <v/>
      </c>
      <c r="E35" s="45" t="str">
        <f aca="false">IF(A35="","",IFERROR(SUMIF('Stock In'!$A:$A,A35,'Stock In'!O:O),0))</f>
        <v/>
      </c>
      <c r="F35" s="45" t="str">
        <f aca="false">IF(A35="","",IFERROR(SUMIF('Stock In'!$A:$A,A35,'Stock In'!R:R),0))</f>
        <v/>
      </c>
      <c r="G35" s="45" t="str">
        <f aca="false">IF(A35="","",IFERROR(SUMIF('Stock In'!$A:$A,A35,'Stock In'!U:U),0))</f>
        <v/>
      </c>
      <c r="H35" s="45" t="str">
        <f aca="false">IF(A35="","",IFERROR(SUMIF('Stock In'!$A:$A,A35,'Stock In'!X:X),0))</f>
        <v/>
      </c>
      <c r="I35" s="45" t="str">
        <f aca="false">IF(A35="","",IFERROR(SUMIF('Stock In'!$A:$A,A35,'Stock In'!AA:AA),0))</f>
        <v/>
      </c>
      <c r="J35" s="45" t="str">
        <f aca="false">IF(A35="","",IFERROR(SUMIF('Stock In'!$A:$A,A35,'Stock In'!AD:AD),0))</f>
        <v/>
      </c>
      <c r="K35" s="45" t="str">
        <f aca="false">IF(A35="","",IFERROR(SUMIF('Stock In'!$A:$A,A35,'Stock In'!AG:AG),0))</f>
        <v/>
      </c>
      <c r="L35" s="45" t="str">
        <f aca="false">IF(A35="","",IFERROR(SUMIF('Stock In'!$A:$A,A35,'Stock In'!AJ:AJ),0))</f>
        <v/>
      </c>
      <c r="M35" s="45" t="str">
        <f aca="false">IF(A35="","",IFERROR(SUMIF('Stock In'!$A:$A,A35,'Stock In'!AM:AM),0))</f>
        <v/>
      </c>
      <c r="N35" s="46" t="str">
        <f aca="false">IF(A35="","",SUM(B35:M35))</f>
        <v/>
      </c>
    </row>
    <row r="36" customFormat="false" ht="15.75" hidden="false" customHeight="true" outlineLevel="0" collapsed="false">
      <c r="A36" s="41"/>
      <c r="B36" s="42" t="str">
        <f aca="false">IF(A36="","",IFERROR(SUMIF('Stock In'!$A:$A,A36,'Stock In'!F:F),0))</f>
        <v/>
      </c>
      <c r="C36" s="42" t="str">
        <f aca="false">IF(A36="","",IFERROR(SUMIF('Stock In'!$A:$A,A36,'Stock In'!I:I),0))</f>
        <v/>
      </c>
      <c r="D36" s="42" t="str">
        <f aca="false">IF(A36="","",IFERROR(SUMIF('Stock In'!$A:$A,A36,'Stock In'!L:L),0))</f>
        <v/>
      </c>
      <c r="E36" s="42" t="str">
        <f aca="false">IF(A36="","",IFERROR(SUMIF('Stock In'!$A:$A,A36,'Stock In'!O:O),0))</f>
        <v/>
      </c>
      <c r="F36" s="42" t="str">
        <f aca="false">IF(A36="","",IFERROR(SUMIF('Stock In'!$A:$A,A36,'Stock In'!R:R),0))</f>
        <v/>
      </c>
      <c r="G36" s="42" t="str">
        <f aca="false">IF(A36="","",IFERROR(SUMIF('Stock In'!$A:$A,A36,'Stock In'!U:U),0))</f>
        <v/>
      </c>
      <c r="H36" s="42" t="str">
        <f aca="false">IF(A36="","",IFERROR(SUMIF('Stock In'!$A:$A,A36,'Stock In'!X:X),0))</f>
        <v/>
      </c>
      <c r="I36" s="42" t="str">
        <f aca="false">IF(A36="","",IFERROR(SUMIF('Stock In'!$A:$A,A36,'Stock In'!AA:AA),0))</f>
        <v/>
      </c>
      <c r="J36" s="42" t="str">
        <f aca="false">IF(A36="","",IFERROR(SUMIF('Stock In'!$A:$A,A36,'Stock In'!AD:AD),0))</f>
        <v/>
      </c>
      <c r="K36" s="42" t="str">
        <f aca="false">IF(A36="","",IFERROR(SUMIF('Stock In'!$A:$A,A36,'Stock In'!AG:AG),0))</f>
        <v/>
      </c>
      <c r="L36" s="42" t="str">
        <f aca="false">IF(A36="","",IFERROR(SUMIF('Stock In'!$A:$A,A36,'Stock In'!AJ:AJ),0))</f>
        <v/>
      </c>
      <c r="M36" s="42" t="str">
        <f aca="false">IF(A36="","",IFERROR(SUMIF('Stock In'!$A:$A,A36,'Stock In'!AM:AM),0))</f>
        <v/>
      </c>
      <c r="N36" s="43" t="str">
        <f aca="false">IF(A36="","",SUM(B36:M36))</f>
        <v/>
      </c>
    </row>
    <row r="37" customFormat="false" ht="15.75" hidden="false" customHeight="true" outlineLevel="0" collapsed="false">
      <c r="A37" s="44"/>
      <c r="B37" s="45" t="str">
        <f aca="false">IF(A37="","",IFERROR(SUMIF('Stock In'!$A:$A,A37,'Stock In'!F:F),0))</f>
        <v/>
      </c>
      <c r="C37" s="45" t="str">
        <f aca="false">IF(A37="","",IFERROR(SUMIF('Stock In'!$A:$A,A37,'Stock In'!I:I),0))</f>
        <v/>
      </c>
      <c r="D37" s="45" t="str">
        <f aca="false">IF(A37="","",IFERROR(SUMIF('Stock In'!$A:$A,A37,'Stock In'!L:L),0))</f>
        <v/>
      </c>
      <c r="E37" s="45" t="str">
        <f aca="false">IF(A37="","",IFERROR(SUMIF('Stock In'!$A:$A,A37,'Stock In'!O:O),0))</f>
        <v/>
      </c>
      <c r="F37" s="45" t="str">
        <f aca="false">IF(A37="","",IFERROR(SUMIF('Stock In'!$A:$A,A37,'Stock In'!R:R),0))</f>
        <v/>
      </c>
      <c r="G37" s="45" t="str">
        <f aca="false">IF(A37="","",IFERROR(SUMIF('Stock In'!$A:$A,A37,'Stock In'!U:U),0))</f>
        <v/>
      </c>
      <c r="H37" s="45" t="str">
        <f aca="false">IF(A37="","",IFERROR(SUMIF('Stock In'!$A:$A,A37,'Stock In'!X:X),0))</f>
        <v/>
      </c>
      <c r="I37" s="45" t="str">
        <f aca="false">IF(A37="","",IFERROR(SUMIF('Stock In'!$A:$A,A37,'Stock In'!AA:AA),0))</f>
        <v/>
      </c>
      <c r="J37" s="45" t="str">
        <f aca="false">IF(A37="","",IFERROR(SUMIF('Stock In'!$A:$A,A37,'Stock In'!AD:AD),0))</f>
        <v/>
      </c>
      <c r="K37" s="45" t="str">
        <f aca="false">IF(A37="","",IFERROR(SUMIF('Stock In'!$A:$A,A37,'Stock In'!AG:AG),0))</f>
        <v/>
      </c>
      <c r="L37" s="45" t="str">
        <f aca="false">IF(A37="","",IFERROR(SUMIF('Stock In'!$A:$A,A37,'Stock In'!AJ:AJ),0))</f>
        <v/>
      </c>
      <c r="M37" s="45" t="str">
        <f aca="false">IF(A37="","",IFERROR(SUMIF('Stock In'!$A:$A,A37,'Stock In'!AM:AM),0))</f>
        <v/>
      </c>
      <c r="N37" s="46" t="str">
        <f aca="false">IF(A37="","",SUM(B37:M37))</f>
        <v/>
      </c>
    </row>
    <row r="38" customFormat="false" ht="15.75" hidden="false" customHeight="true" outlineLevel="0" collapsed="false">
      <c r="A38" s="41"/>
      <c r="B38" s="42" t="str">
        <f aca="false">IF(A38="","",IFERROR(SUMIF('Stock In'!$A:$A,A38,'Stock In'!F:F),0))</f>
        <v/>
      </c>
      <c r="C38" s="42" t="str">
        <f aca="false">IF(A38="","",IFERROR(SUMIF('Stock In'!$A:$A,A38,'Stock In'!I:I),0))</f>
        <v/>
      </c>
      <c r="D38" s="42" t="str">
        <f aca="false">IF(A38="","",IFERROR(SUMIF('Stock In'!$A:$A,A38,'Stock In'!L:L),0))</f>
        <v/>
      </c>
      <c r="E38" s="42" t="str">
        <f aca="false">IF(A38="","",IFERROR(SUMIF('Stock In'!$A:$A,A38,'Stock In'!O:O),0))</f>
        <v/>
      </c>
      <c r="F38" s="42" t="str">
        <f aca="false">IF(A38="","",IFERROR(SUMIF('Stock In'!$A:$A,A38,'Stock In'!R:R),0))</f>
        <v/>
      </c>
      <c r="G38" s="42" t="str">
        <f aca="false">IF(A38="","",IFERROR(SUMIF('Stock In'!$A:$A,A38,'Stock In'!U:U),0))</f>
        <v/>
      </c>
      <c r="H38" s="42" t="str">
        <f aca="false">IF(A38="","",IFERROR(SUMIF('Stock In'!$A:$A,A38,'Stock In'!X:X),0))</f>
        <v/>
      </c>
      <c r="I38" s="42" t="str">
        <f aca="false">IF(A38="","",IFERROR(SUMIF('Stock In'!$A:$A,A38,'Stock In'!AA:AA),0))</f>
        <v/>
      </c>
      <c r="J38" s="42" t="str">
        <f aca="false">IF(A38="","",IFERROR(SUMIF('Stock In'!$A:$A,A38,'Stock In'!AD:AD),0))</f>
        <v/>
      </c>
      <c r="K38" s="42" t="str">
        <f aca="false">IF(A38="","",IFERROR(SUMIF('Stock In'!$A:$A,A38,'Stock In'!AG:AG),0))</f>
        <v/>
      </c>
      <c r="L38" s="42" t="str">
        <f aca="false">IF(A38="","",IFERROR(SUMIF('Stock In'!$A:$A,A38,'Stock In'!AJ:AJ),0))</f>
        <v/>
      </c>
      <c r="M38" s="42" t="str">
        <f aca="false">IF(A38="","",IFERROR(SUMIF('Stock In'!$A:$A,A38,'Stock In'!AM:AM),0))</f>
        <v/>
      </c>
      <c r="N38" s="43" t="str">
        <f aca="false">IF(A38="","",SUM(B38:M38))</f>
        <v/>
      </c>
    </row>
    <row r="39" customFormat="false" ht="15.75" hidden="false" customHeight="true" outlineLevel="0" collapsed="false">
      <c r="A39" s="44"/>
      <c r="B39" s="45" t="str">
        <f aca="false">IF(A39="","",IFERROR(SUMIF('Stock In'!$A:$A,A39,'Stock In'!F:F),0))</f>
        <v/>
      </c>
      <c r="C39" s="45" t="str">
        <f aca="false">IF(A39="","",IFERROR(SUMIF('Stock In'!$A:$A,A39,'Stock In'!I:I),0))</f>
        <v/>
      </c>
      <c r="D39" s="45" t="str">
        <f aca="false">IF(A39="","",IFERROR(SUMIF('Stock In'!$A:$A,A39,'Stock In'!L:L),0))</f>
        <v/>
      </c>
      <c r="E39" s="45" t="str">
        <f aca="false">IF(A39="","",IFERROR(SUMIF('Stock In'!$A:$A,A39,'Stock In'!O:O),0))</f>
        <v/>
      </c>
      <c r="F39" s="45" t="str">
        <f aca="false">IF(A39="","",IFERROR(SUMIF('Stock In'!$A:$A,A39,'Stock In'!R:R),0))</f>
        <v/>
      </c>
      <c r="G39" s="45" t="str">
        <f aca="false">IF(A39="","",IFERROR(SUMIF('Stock In'!$A:$A,A39,'Stock In'!U:U),0))</f>
        <v/>
      </c>
      <c r="H39" s="45" t="str">
        <f aca="false">IF(A39="","",IFERROR(SUMIF('Stock In'!$A:$A,A39,'Stock In'!X:X),0))</f>
        <v/>
      </c>
      <c r="I39" s="45" t="str">
        <f aca="false">IF(A39="","",IFERROR(SUMIF('Stock In'!$A:$A,A39,'Stock In'!AA:AA),0))</f>
        <v/>
      </c>
      <c r="J39" s="45" t="str">
        <f aca="false">IF(A39="","",IFERROR(SUMIF('Stock In'!$A:$A,A39,'Stock In'!AD:AD),0))</f>
        <v/>
      </c>
      <c r="K39" s="45" t="str">
        <f aca="false">IF(A39="","",IFERROR(SUMIF('Stock In'!$A:$A,A39,'Stock In'!AG:AG),0))</f>
        <v/>
      </c>
      <c r="L39" s="45" t="str">
        <f aca="false">IF(A39="","",IFERROR(SUMIF('Stock In'!$A:$A,A39,'Stock In'!AJ:AJ),0))</f>
        <v/>
      </c>
      <c r="M39" s="45" t="str">
        <f aca="false">IF(A39="","",IFERROR(SUMIF('Stock In'!$A:$A,A39,'Stock In'!AM:AM),0))</f>
        <v/>
      </c>
      <c r="N39" s="46" t="str">
        <f aca="false">IF(A39="","",SUM(B39:M39))</f>
        <v/>
      </c>
    </row>
    <row r="40" customFormat="false" ht="15.75" hidden="false" customHeight="true" outlineLevel="0" collapsed="false">
      <c r="A40" s="41"/>
      <c r="B40" s="42" t="str">
        <f aca="false">IF(A40="","",IFERROR(SUMIF('Stock In'!$A:$A,A40,'Stock In'!F:F),0))</f>
        <v/>
      </c>
      <c r="C40" s="42" t="str">
        <f aca="false">IF(A40="","",IFERROR(SUMIF('Stock In'!$A:$A,A40,'Stock In'!I:I),0))</f>
        <v/>
      </c>
      <c r="D40" s="42" t="str">
        <f aca="false">IF(A40="","",IFERROR(SUMIF('Stock In'!$A:$A,A40,'Stock In'!L:L),0))</f>
        <v/>
      </c>
      <c r="E40" s="42" t="str">
        <f aca="false">IF(A40="","",IFERROR(SUMIF('Stock In'!$A:$A,A40,'Stock In'!O:O),0))</f>
        <v/>
      </c>
      <c r="F40" s="42" t="str">
        <f aca="false">IF(A40="","",IFERROR(SUMIF('Stock In'!$A:$A,A40,'Stock In'!R:R),0))</f>
        <v/>
      </c>
      <c r="G40" s="42" t="str">
        <f aca="false">IF(A40="","",IFERROR(SUMIF('Stock In'!$A:$A,A40,'Stock In'!U:U),0))</f>
        <v/>
      </c>
      <c r="H40" s="42" t="str">
        <f aca="false">IF(A40="","",IFERROR(SUMIF('Stock In'!$A:$A,A40,'Stock In'!X:X),0))</f>
        <v/>
      </c>
      <c r="I40" s="42" t="str">
        <f aca="false">IF(A40="","",IFERROR(SUMIF('Stock In'!$A:$A,A40,'Stock In'!AA:AA),0))</f>
        <v/>
      </c>
      <c r="J40" s="42" t="str">
        <f aca="false">IF(A40="","",IFERROR(SUMIF('Stock In'!$A:$A,A40,'Stock In'!AD:AD),0))</f>
        <v/>
      </c>
      <c r="K40" s="42" t="str">
        <f aca="false">IF(A40="","",IFERROR(SUMIF('Stock In'!$A:$A,A40,'Stock In'!AG:AG),0))</f>
        <v/>
      </c>
      <c r="L40" s="42" t="str">
        <f aca="false">IF(A40="","",IFERROR(SUMIF('Stock In'!$A:$A,A40,'Stock In'!AJ:AJ),0))</f>
        <v/>
      </c>
      <c r="M40" s="42" t="str">
        <f aca="false">IF(A40="","",IFERROR(SUMIF('Stock In'!$A:$A,A40,'Stock In'!AM:AM),0))</f>
        <v/>
      </c>
      <c r="N40" s="43" t="str">
        <f aca="false">IF(A40="","",SUM(B40:M40))</f>
        <v/>
      </c>
    </row>
    <row r="41" customFormat="false" ht="15.75" hidden="false" customHeight="true" outlineLevel="0" collapsed="false">
      <c r="A41" s="44"/>
      <c r="B41" s="45" t="str">
        <f aca="false">IF(A41="","",IFERROR(SUMIF('Stock In'!$A:$A,A41,'Stock In'!F:F),0))</f>
        <v/>
      </c>
      <c r="C41" s="45" t="str">
        <f aca="false">IF(A41="","",IFERROR(SUMIF('Stock In'!$A:$A,A41,'Stock In'!I:I),0))</f>
        <v/>
      </c>
      <c r="D41" s="45" t="str">
        <f aca="false">IF(A41="","",IFERROR(SUMIF('Stock In'!$A:$A,A41,'Stock In'!L:L),0))</f>
        <v/>
      </c>
      <c r="E41" s="45" t="str">
        <f aca="false">IF(A41="","",IFERROR(SUMIF('Stock In'!$A:$A,A41,'Stock In'!O:O),0))</f>
        <v/>
      </c>
      <c r="F41" s="45" t="str">
        <f aca="false">IF(A41="","",IFERROR(SUMIF('Stock In'!$A:$A,A41,'Stock In'!R:R),0))</f>
        <v/>
      </c>
      <c r="G41" s="45" t="str">
        <f aca="false">IF(A41="","",IFERROR(SUMIF('Stock In'!$A:$A,A41,'Stock In'!U:U),0))</f>
        <v/>
      </c>
      <c r="H41" s="45" t="str">
        <f aca="false">IF(A41="","",IFERROR(SUMIF('Stock In'!$A:$A,A41,'Stock In'!X:X),0))</f>
        <v/>
      </c>
      <c r="I41" s="45" t="str">
        <f aca="false">IF(A41="","",IFERROR(SUMIF('Stock In'!$A:$A,A41,'Stock In'!AA:AA),0))</f>
        <v/>
      </c>
      <c r="J41" s="45" t="str">
        <f aca="false">IF(A41="","",IFERROR(SUMIF('Stock In'!$A:$A,A41,'Stock In'!AD:AD),0))</f>
        <v/>
      </c>
      <c r="K41" s="45" t="str">
        <f aca="false">IF(A41="","",IFERROR(SUMIF('Stock In'!$A:$A,A41,'Stock In'!AG:AG),0))</f>
        <v/>
      </c>
      <c r="L41" s="45" t="str">
        <f aca="false">IF(A41="","",IFERROR(SUMIF('Stock In'!$A:$A,A41,'Stock In'!AJ:AJ),0))</f>
        <v/>
      </c>
      <c r="M41" s="45" t="str">
        <f aca="false">IF(A41="","",IFERROR(SUMIF('Stock In'!$A:$A,A41,'Stock In'!AM:AM),0))</f>
        <v/>
      </c>
      <c r="N41" s="46" t="str">
        <f aca="false">IF(A41="","",SUM(B41:M41))</f>
        <v/>
      </c>
    </row>
    <row r="42" customFormat="false" ht="15.75" hidden="false" customHeight="true" outlineLevel="0" collapsed="false">
      <c r="A42" s="41"/>
      <c r="B42" s="42" t="str">
        <f aca="false">IF(A42="","",IFERROR(SUMIF('Stock In'!$A:$A,A42,'Stock In'!F:F),0))</f>
        <v/>
      </c>
      <c r="C42" s="42" t="str">
        <f aca="false">IF(A42="","",IFERROR(SUMIF('Stock In'!$A:$A,A42,'Stock In'!I:I),0))</f>
        <v/>
      </c>
      <c r="D42" s="42" t="str">
        <f aca="false">IF(A42="","",IFERROR(SUMIF('Stock In'!$A:$A,A42,'Stock In'!L:L),0))</f>
        <v/>
      </c>
      <c r="E42" s="42" t="str">
        <f aca="false">IF(A42="","",IFERROR(SUMIF('Stock In'!$A:$A,A42,'Stock In'!O:O),0))</f>
        <v/>
      </c>
      <c r="F42" s="42" t="str">
        <f aca="false">IF(A42="","",IFERROR(SUMIF('Stock In'!$A:$A,A42,'Stock In'!R:R),0))</f>
        <v/>
      </c>
      <c r="G42" s="42" t="str">
        <f aca="false">IF(A42="","",IFERROR(SUMIF('Stock In'!$A:$A,A42,'Stock In'!U:U),0))</f>
        <v/>
      </c>
      <c r="H42" s="42" t="str">
        <f aca="false">IF(A42="","",IFERROR(SUMIF('Stock In'!$A:$A,A42,'Stock In'!X:X),0))</f>
        <v/>
      </c>
      <c r="I42" s="42" t="str">
        <f aca="false">IF(A42="","",IFERROR(SUMIF('Stock In'!$A:$A,A42,'Stock In'!AA:AA),0))</f>
        <v/>
      </c>
      <c r="J42" s="42" t="str">
        <f aca="false">IF(A42="","",IFERROR(SUMIF('Stock In'!$A:$A,A42,'Stock In'!AD:AD),0))</f>
        <v/>
      </c>
      <c r="K42" s="42" t="str">
        <f aca="false">IF(A42="","",IFERROR(SUMIF('Stock In'!$A:$A,A42,'Stock In'!AG:AG),0))</f>
        <v/>
      </c>
      <c r="L42" s="42" t="str">
        <f aca="false">IF(A42="","",IFERROR(SUMIF('Stock In'!$A:$A,A42,'Stock In'!AJ:AJ),0))</f>
        <v/>
      </c>
      <c r="M42" s="42" t="str">
        <f aca="false">IF(A42="","",IFERROR(SUMIF('Stock In'!$A:$A,A42,'Stock In'!AM:AM),0))</f>
        <v/>
      </c>
      <c r="N42" s="43" t="str">
        <f aca="false">IF(A42="","",SUM(B42:M42))</f>
        <v/>
      </c>
    </row>
    <row r="43" customFormat="false" ht="15.75" hidden="false" customHeight="true" outlineLevel="0" collapsed="false">
      <c r="A43" s="44"/>
      <c r="B43" s="45" t="str">
        <f aca="false">IF(A43="","",IFERROR(SUMIF('Stock In'!$A:$A,A43,'Stock In'!F:F),0))</f>
        <v/>
      </c>
      <c r="C43" s="45" t="str">
        <f aca="false">IF(A43="","",IFERROR(SUMIF('Stock In'!$A:$A,A43,'Stock In'!I:I),0))</f>
        <v/>
      </c>
      <c r="D43" s="45" t="str">
        <f aca="false">IF(A43="","",IFERROR(SUMIF('Stock In'!$A:$A,A43,'Stock In'!L:L),0))</f>
        <v/>
      </c>
      <c r="E43" s="45" t="str">
        <f aca="false">IF(A43="","",IFERROR(SUMIF('Stock In'!$A:$A,A43,'Stock In'!O:O),0))</f>
        <v/>
      </c>
      <c r="F43" s="45" t="str">
        <f aca="false">IF(A43="","",IFERROR(SUMIF('Stock In'!$A:$A,A43,'Stock In'!R:R),0))</f>
        <v/>
      </c>
      <c r="G43" s="45" t="str">
        <f aca="false">IF(A43="","",IFERROR(SUMIF('Stock In'!$A:$A,A43,'Stock In'!U:U),0))</f>
        <v/>
      </c>
      <c r="H43" s="45" t="str">
        <f aca="false">IF(A43="","",IFERROR(SUMIF('Stock In'!$A:$A,A43,'Stock In'!X:X),0))</f>
        <v/>
      </c>
      <c r="I43" s="45" t="str">
        <f aca="false">IF(A43="","",IFERROR(SUMIF('Stock In'!$A:$A,A43,'Stock In'!AA:AA),0))</f>
        <v/>
      </c>
      <c r="J43" s="45" t="str">
        <f aca="false">IF(A43="","",IFERROR(SUMIF('Stock In'!$A:$A,A43,'Stock In'!AD:AD),0))</f>
        <v/>
      </c>
      <c r="K43" s="45" t="str">
        <f aca="false">IF(A43="","",IFERROR(SUMIF('Stock In'!$A:$A,A43,'Stock In'!AG:AG),0))</f>
        <v/>
      </c>
      <c r="L43" s="45" t="str">
        <f aca="false">IF(A43="","",IFERROR(SUMIF('Stock In'!$A:$A,A43,'Stock In'!AJ:AJ),0))</f>
        <v/>
      </c>
      <c r="M43" s="45" t="str">
        <f aca="false">IF(A43="","",IFERROR(SUMIF('Stock In'!$A:$A,A43,'Stock In'!AM:AM),0))</f>
        <v/>
      </c>
      <c r="N43" s="46" t="str">
        <f aca="false">IF(A43="","",SUM(B43:M43))</f>
        <v/>
      </c>
    </row>
    <row r="44" customFormat="false" ht="15.75" hidden="false" customHeight="true" outlineLevel="0" collapsed="false">
      <c r="A44" s="41"/>
      <c r="B44" s="42" t="str">
        <f aca="false">IF(A44="","",IFERROR(SUMIF('Stock In'!$A:$A,A44,'Stock In'!F:F),0))</f>
        <v/>
      </c>
      <c r="C44" s="42" t="str">
        <f aca="false">IF(A44="","",IFERROR(SUMIF('Stock In'!$A:$A,A44,'Stock In'!I:I),0))</f>
        <v/>
      </c>
      <c r="D44" s="42" t="str">
        <f aca="false">IF(A44="","",IFERROR(SUMIF('Stock In'!$A:$A,A44,'Stock In'!L:L),0))</f>
        <v/>
      </c>
      <c r="E44" s="42" t="str">
        <f aca="false">IF(A44="","",IFERROR(SUMIF('Stock In'!$A:$A,A44,'Stock In'!O:O),0))</f>
        <v/>
      </c>
      <c r="F44" s="42" t="str">
        <f aca="false">IF(A44="","",IFERROR(SUMIF('Stock In'!$A:$A,A44,'Stock In'!R:R),0))</f>
        <v/>
      </c>
      <c r="G44" s="42" t="str">
        <f aca="false">IF(A44="","",IFERROR(SUMIF('Stock In'!$A:$A,A44,'Stock In'!U:U),0))</f>
        <v/>
      </c>
      <c r="H44" s="42" t="str">
        <f aca="false">IF(A44="","",IFERROR(SUMIF('Stock In'!$A:$A,A44,'Stock In'!X:X),0))</f>
        <v/>
      </c>
      <c r="I44" s="42" t="str">
        <f aca="false">IF(A44="","",IFERROR(SUMIF('Stock In'!$A:$A,A44,'Stock In'!AA:AA),0))</f>
        <v/>
      </c>
      <c r="J44" s="42" t="str">
        <f aca="false">IF(A44="","",IFERROR(SUMIF('Stock In'!$A:$A,A44,'Stock In'!AD:AD),0))</f>
        <v/>
      </c>
      <c r="K44" s="42" t="str">
        <f aca="false">IF(A44="","",IFERROR(SUMIF('Stock In'!$A:$A,A44,'Stock In'!AG:AG),0))</f>
        <v/>
      </c>
      <c r="L44" s="42" t="str">
        <f aca="false">IF(A44="","",IFERROR(SUMIF('Stock In'!$A:$A,A44,'Stock In'!AJ:AJ),0))</f>
        <v/>
      </c>
      <c r="M44" s="42" t="str">
        <f aca="false">IF(A44="","",IFERROR(SUMIF('Stock In'!$A:$A,A44,'Stock In'!AM:AM),0))</f>
        <v/>
      </c>
      <c r="N44" s="43" t="str">
        <f aca="false">IF(A44="","",SUM(B44:M44))</f>
        <v/>
      </c>
    </row>
    <row r="45" customFormat="false" ht="15.75" hidden="false" customHeight="true" outlineLevel="0" collapsed="false">
      <c r="A45" s="44"/>
      <c r="B45" s="45" t="str">
        <f aca="false">IF(A45="","",IFERROR(SUMIF('Stock In'!$A:$A,A45,'Stock In'!F:F),0))</f>
        <v/>
      </c>
      <c r="C45" s="45" t="str">
        <f aca="false">IF(A45="","",IFERROR(SUMIF('Stock In'!$A:$A,A45,'Stock In'!I:I),0))</f>
        <v/>
      </c>
      <c r="D45" s="45" t="str">
        <f aca="false">IF(A45="","",IFERROR(SUMIF('Stock In'!$A:$A,A45,'Stock In'!L:L),0))</f>
        <v/>
      </c>
      <c r="E45" s="45" t="str">
        <f aca="false">IF(A45="","",IFERROR(SUMIF('Stock In'!$A:$A,A45,'Stock In'!O:O),0))</f>
        <v/>
      </c>
      <c r="F45" s="45" t="str">
        <f aca="false">IF(A45="","",IFERROR(SUMIF('Stock In'!$A:$A,A45,'Stock In'!R:R),0))</f>
        <v/>
      </c>
      <c r="G45" s="45" t="str">
        <f aca="false">IF(A45="","",IFERROR(SUMIF('Stock In'!$A:$A,A45,'Stock In'!U:U),0))</f>
        <v/>
      </c>
      <c r="H45" s="45" t="str">
        <f aca="false">IF(A45="","",IFERROR(SUMIF('Stock In'!$A:$A,A45,'Stock In'!X:X),0))</f>
        <v/>
      </c>
      <c r="I45" s="45" t="str">
        <f aca="false">IF(A45="","",IFERROR(SUMIF('Stock In'!$A:$A,A45,'Stock In'!AA:AA),0))</f>
        <v/>
      </c>
      <c r="J45" s="45" t="str">
        <f aca="false">IF(A45="","",IFERROR(SUMIF('Stock In'!$A:$A,A45,'Stock In'!AD:AD),0))</f>
        <v/>
      </c>
      <c r="K45" s="45" t="str">
        <f aca="false">IF(A45="","",IFERROR(SUMIF('Stock In'!$A:$A,A45,'Stock In'!AG:AG),0))</f>
        <v/>
      </c>
      <c r="L45" s="45" t="str">
        <f aca="false">IF(A45="","",IFERROR(SUMIF('Stock In'!$A:$A,A45,'Stock In'!AJ:AJ),0))</f>
        <v/>
      </c>
      <c r="M45" s="45" t="str">
        <f aca="false">IF(A45="","",IFERROR(SUMIF('Stock In'!$A:$A,A45,'Stock In'!AM:AM),0))</f>
        <v/>
      </c>
      <c r="N45" s="46" t="str">
        <f aca="false">IF(A45="","",SUM(B45:M45))</f>
        <v/>
      </c>
    </row>
    <row r="46" customFormat="false" ht="15.75" hidden="false" customHeight="true" outlineLevel="0" collapsed="false">
      <c r="A46" s="41"/>
      <c r="B46" s="42" t="str">
        <f aca="false">IF(A46="","",IFERROR(SUMIF('Stock In'!$A:$A,A46,'Stock In'!F:F),0))</f>
        <v/>
      </c>
      <c r="C46" s="42" t="str">
        <f aca="false">IF(A46="","",IFERROR(SUMIF('Stock In'!$A:$A,A46,'Stock In'!I:I),0))</f>
        <v/>
      </c>
      <c r="D46" s="42" t="str">
        <f aca="false">IF(A46="","",IFERROR(SUMIF('Stock In'!$A:$A,A46,'Stock In'!L:L),0))</f>
        <v/>
      </c>
      <c r="E46" s="42" t="str">
        <f aca="false">IF(A46="","",IFERROR(SUMIF('Stock In'!$A:$A,A46,'Stock In'!O:O),0))</f>
        <v/>
      </c>
      <c r="F46" s="42" t="str">
        <f aca="false">IF(A46="","",IFERROR(SUMIF('Stock In'!$A:$A,A46,'Stock In'!R:R),0))</f>
        <v/>
      </c>
      <c r="G46" s="42" t="str">
        <f aca="false">IF(A46="","",IFERROR(SUMIF('Stock In'!$A:$A,A46,'Stock In'!U:U),0))</f>
        <v/>
      </c>
      <c r="H46" s="42" t="str">
        <f aca="false">IF(A46="","",IFERROR(SUMIF('Stock In'!$A:$A,A46,'Stock In'!X:X),0))</f>
        <v/>
      </c>
      <c r="I46" s="42" t="str">
        <f aca="false">IF(A46="","",IFERROR(SUMIF('Stock In'!$A:$A,A46,'Stock In'!AA:AA),0))</f>
        <v/>
      </c>
      <c r="J46" s="42" t="str">
        <f aca="false">IF(A46="","",IFERROR(SUMIF('Stock In'!$A:$A,A46,'Stock In'!AD:AD),0))</f>
        <v/>
      </c>
      <c r="K46" s="42" t="str">
        <f aca="false">IF(A46="","",IFERROR(SUMIF('Stock In'!$A:$A,A46,'Stock In'!AG:AG),0))</f>
        <v/>
      </c>
      <c r="L46" s="42" t="str">
        <f aca="false">IF(A46="","",IFERROR(SUMIF('Stock In'!$A:$A,A46,'Stock In'!AJ:AJ),0))</f>
        <v/>
      </c>
      <c r="M46" s="42" t="str">
        <f aca="false">IF(A46="","",IFERROR(SUMIF('Stock In'!$A:$A,A46,'Stock In'!AM:AM),0))</f>
        <v/>
      </c>
      <c r="N46" s="43" t="str">
        <f aca="false">IF(A46="","",SUM(B46:M46))</f>
        <v/>
      </c>
    </row>
    <row r="47" customFormat="false" ht="15.75" hidden="false" customHeight="true" outlineLevel="0" collapsed="false">
      <c r="A47" s="44"/>
      <c r="B47" s="45" t="str">
        <f aca="false">IF(A47="","",IFERROR(SUMIF('Stock In'!$A:$A,A47,'Stock In'!F:F),0))</f>
        <v/>
      </c>
      <c r="C47" s="45" t="str">
        <f aca="false">IF(A47="","",IFERROR(SUMIF('Stock In'!$A:$A,A47,'Stock In'!I:I),0))</f>
        <v/>
      </c>
      <c r="D47" s="45" t="str">
        <f aca="false">IF(A47="","",IFERROR(SUMIF('Stock In'!$A:$A,A47,'Stock In'!L:L),0))</f>
        <v/>
      </c>
      <c r="E47" s="45" t="str">
        <f aca="false">IF(A47="","",IFERROR(SUMIF('Stock In'!$A:$A,A47,'Stock In'!O:O),0))</f>
        <v/>
      </c>
      <c r="F47" s="45" t="str">
        <f aca="false">IF(A47="","",IFERROR(SUMIF('Stock In'!$A:$A,A47,'Stock In'!R:R),0))</f>
        <v/>
      </c>
      <c r="G47" s="45" t="str">
        <f aca="false">IF(A47="","",IFERROR(SUMIF('Stock In'!$A:$A,A47,'Stock In'!U:U),0))</f>
        <v/>
      </c>
      <c r="H47" s="45" t="str">
        <f aca="false">IF(A47="","",IFERROR(SUMIF('Stock In'!$A:$A,A47,'Stock In'!X:X),0))</f>
        <v/>
      </c>
      <c r="I47" s="45" t="str">
        <f aca="false">IF(A47="","",IFERROR(SUMIF('Stock In'!$A:$A,A47,'Stock In'!AA:AA),0))</f>
        <v/>
      </c>
      <c r="J47" s="45" t="str">
        <f aca="false">IF(A47="","",IFERROR(SUMIF('Stock In'!$A:$A,A47,'Stock In'!AD:AD),0))</f>
        <v/>
      </c>
      <c r="K47" s="45" t="str">
        <f aca="false">IF(A47="","",IFERROR(SUMIF('Stock In'!$A:$A,A47,'Stock In'!AG:AG),0))</f>
        <v/>
      </c>
      <c r="L47" s="45" t="str">
        <f aca="false">IF(A47="","",IFERROR(SUMIF('Stock In'!$A:$A,A47,'Stock In'!AJ:AJ),0))</f>
        <v/>
      </c>
      <c r="M47" s="45" t="str">
        <f aca="false">IF(A47="","",IFERROR(SUMIF('Stock In'!$A:$A,A47,'Stock In'!AM:AM),0))</f>
        <v/>
      </c>
      <c r="N47" s="46" t="str">
        <f aca="false">IF(A47="","",SUM(B47:M47))</f>
        <v/>
      </c>
    </row>
    <row r="48" customFormat="false" ht="15.75" hidden="false" customHeight="true" outlineLevel="0" collapsed="false">
      <c r="A48" s="41"/>
      <c r="B48" s="42" t="str">
        <f aca="false">IF(A48="","",IFERROR(SUMIF('Stock In'!$A:$A,A48,'Stock In'!F:F),0))</f>
        <v/>
      </c>
      <c r="C48" s="42" t="str">
        <f aca="false">IF(A48="","",IFERROR(SUMIF('Stock In'!$A:$A,A48,'Stock In'!I:I),0))</f>
        <v/>
      </c>
      <c r="D48" s="42" t="str">
        <f aca="false">IF(A48="","",IFERROR(SUMIF('Stock In'!$A:$A,A48,'Stock In'!L:L),0))</f>
        <v/>
      </c>
      <c r="E48" s="42" t="str">
        <f aca="false">IF(A48="","",IFERROR(SUMIF('Stock In'!$A:$A,A48,'Stock In'!O:O),0))</f>
        <v/>
      </c>
      <c r="F48" s="42" t="str">
        <f aca="false">IF(A48="","",IFERROR(SUMIF('Stock In'!$A:$A,A48,'Stock In'!R:R),0))</f>
        <v/>
      </c>
      <c r="G48" s="42" t="str">
        <f aca="false">IF(A48="","",IFERROR(SUMIF('Stock In'!$A:$A,A48,'Stock In'!U:U),0))</f>
        <v/>
      </c>
      <c r="H48" s="42" t="str">
        <f aca="false">IF(A48="","",IFERROR(SUMIF('Stock In'!$A:$A,A48,'Stock In'!X:X),0))</f>
        <v/>
      </c>
      <c r="I48" s="42" t="str">
        <f aca="false">IF(A48="","",IFERROR(SUMIF('Stock In'!$A:$A,A48,'Stock In'!AA:AA),0))</f>
        <v/>
      </c>
      <c r="J48" s="42" t="str">
        <f aca="false">IF(A48="","",IFERROR(SUMIF('Stock In'!$A:$A,A48,'Stock In'!AD:AD),0))</f>
        <v/>
      </c>
      <c r="K48" s="42" t="str">
        <f aca="false">IF(A48="","",IFERROR(SUMIF('Stock In'!$A:$A,A48,'Stock In'!AG:AG),0))</f>
        <v/>
      </c>
      <c r="L48" s="42" t="str">
        <f aca="false">IF(A48="","",IFERROR(SUMIF('Stock In'!$A:$A,A48,'Stock In'!AJ:AJ),0))</f>
        <v/>
      </c>
      <c r="M48" s="42" t="str">
        <f aca="false">IF(A48="","",IFERROR(SUMIF('Stock In'!$A:$A,A48,'Stock In'!AM:AM),0))</f>
        <v/>
      </c>
      <c r="N48" s="43" t="str">
        <f aca="false">IF(A48="","",SUM(B48:M48))</f>
        <v/>
      </c>
    </row>
    <row r="49" customFormat="false" ht="15.75" hidden="false" customHeight="true" outlineLevel="0" collapsed="false">
      <c r="A49" s="44"/>
      <c r="B49" s="45" t="str">
        <f aca="false">IF(A49="","",IFERROR(SUMIF('Stock In'!$A:$A,A49,'Stock In'!F:F),0))</f>
        <v/>
      </c>
      <c r="C49" s="45" t="str">
        <f aca="false">IF(A49="","",IFERROR(SUMIF('Stock In'!$A:$A,A49,'Stock In'!I:I),0))</f>
        <v/>
      </c>
      <c r="D49" s="45" t="str">
        <f aca="false">IF(A49="","",IFERROR(SUMIF('Stock In'!$A:$A,A49,'Stock In'!L:L),0))</f>
        <v/>
      </c>
      <c r="E49" s="45" t="str">
        <f aca="false">IF(A49="","",IFERROR(SUMIF('Stock In'!$A:$A,A49,'Stock In'!O:O),0))</f>
        <v/>
      </c>
      <c r="F49" s="45" t="str">
        <f aca="false">IF(A49="","",IFERROR(SUMIF('Stock In'!$A:$A,A49,'Stock In'!R:R),0))</f>
        <v/>
      </c>
      <c r="G49" s="45" t="str">
        <f aca="false">IF(A49="","",IFERROR(SUMIF('Stock In'!$A:$A,A49,'Stock In'!U:U),0))</f>
        <v/>
      </c>
      <c r="H49" s="45" t="str">
        <f aca="false">IF(A49="","",IFERROR(SUMIF('Stock In'!$A:$A,A49,'Stock In'!X:X),0))</f>
        <v/>
      </c>
      <c r="I49" s="45" t="str">
        <f aca="false">IF(A49="","",IFERROR(SUMIF('Stock In'!$A:$A,A49,'Stock In'!AA:AA),0))</f>
        <v/>
      </c>
      <c r="J49" s="45" t="str">
        <f aca="false">IF(A49="","",IFERROR(SUMIF('Stock In'!$A:$A,A49,'Stock In'!AD:AD),0))</f>
        <v/>
      </c>
      <c r="K49" s="45" t="str">
        <f aca="false">IF(A49="","",IFERROR(SUMIF('Stock In'!$A:$A,A49,'Stock In'!AG:AG),0))</f>
        <v/>
      </c>
      <c r="L49" s="45" t="str">
        <f aca="false">IF(A49="","",IFERROR(SUMIF('Stock In'!$A:$A,A49,'Stock In'!AJ:AJ),0))</f>
        <v/>
      </c>
      <c r="M49" s="45" t="str">
        <f aca="false">IF(A49="","",IFERROR(SUMIF('Stock In'!$A:$A,A49,'Stock In'!AM:AM),0))</f>
        <v/>
      </c>
      <c r="N49" s="46" t="str">
        <f aca="false">IF(A49="","",SUM(B49:M49))</f>
        <v/>
      </c>
    </row>
    <row r="50" customFormat="false" ht="15.75" hidden="false" customHeight="true" outlineLevel="0" collapsed="false">
      <c r="A50" s="41"/>
      <c r="B50" s="42" t="str">
        <f aca="false">IF(A50="","",IFERROR(SUMIF('Stock In'!$A:$A,A50,'Stock In'!F:F),0))</f>
        <v/>
      </c>
      <c r="C50" s="42" t="str">
        <f aca="false">IF(A50="","",IFERROR(SUMIF('Stock In'!$A:$A,A50,'Stock In'!I:I),0))</f>
        <v/>
      </c>
      <c r="D50" s="42" t="str">
        <f aca="false">IF(A50="","",IFERROR(SUMIF('Stock In'!$A:$A,A50,'Stock In'!L:L),0))</f>
        <v/>
      </c>
      <c r="E50" s="42" t="str">
        <f aca="false">IF(A50="","",IFERROR(SUMIF('Stock In'!$A:$A,A50,'Stock In'!O:O),0))</f>
        <v/>
      </c>
      <c r="F50" s="42" t="str">
        <f aca="false">IF(A50="","",IFERROR(SUMIF('Stock In'!$A:$A,A50,'Stock In'!R:R),0))</f>
        <v/>
      </c>
      <c r="G50" s="42" t="str">
        <f aca="false">IF(A50="","",IFERROR(SUMIF('Stock In'!$A:$A,A50,'Stock In'!U:U),0))</f>
        <v/>
      </c>
      <c r="H50" s="42" t="str">
        <f aca="false">IF(A50="","",IFERROR(SUMIF('Stock In'!$A:$A,A50,'Stock In'!X:X),0))</f>
        <v/>
      </c>
      <c r="I50" s="42" t="str">
        <f aca="false">IF(A50="","",IFERROR(SUMIF('Stock In'!$A:$A,A50,'Stock In'!AA:AA),0))</f>
        <v/>
      </c>
      <c r="J50" s="42" t="str">
        <f aca="false">IF(A50="","",IFERROR(SUMIF('Stock In'!$A:$A,A50,'Stock In'!AD:AD),0))</f>
        <v/>
      </c>
      <c r="K50" s="42" t="str">
        <f aca="false">IF(A50="","",IFERROR(SUMIF('Stock In'!$A:$A,A50,'Stock In'!AG:AG),0))</f>
        <v/>
      </c>
      <c r="L50" s="42" t="str">
        <f aca="false">IF(A50="","",IFERROR(SUMIF('Stock In'!$A:$A,A50,'Stock In'!AJ:AJ),0))</f>
        <v/>
      </c>
      <c r="M50" s="42" t="str">
        <f aca="false">IF(A50="","",IFERROR(SUMIF('Stock In'!$A:$A,A50,'Stock In'!AM:AM),0))</f>
        <v/>
      </c>
      <c r="N50" s="43" t="str">
        <f aca="false">IF(A50="","",SUM(B50:M50))</f>
        <v/>
      </c>
    </row>
    <row r="51" customFormat="false" ht="15.75" hidden="false" customHeight="true" outlineLevel="0" collapsed="false">
      <c r="A51" s="44"/>
      <c r="B51" s="45" t="str">
        <f aca="false">IF(A51="","",IFERROR(SUMIF('Stock In'!$A:$A,A51,'Stock In'!F:F),0))</f>
        <v/>
      </c>
      <c r="C51" s="45" t="str">
        <f aca="false">IF(A51="","",IFERROR(SUMIF('Stock In'!$A:$A,A51,'Stock In'!I:I),0))</f>
        <v/>
      </c>
      <c r="D51" s="45" t="str">
        <f aca="false">IF(A51="","",IFERROR(SUMIF('Stock In'!$A:$A,A51,'Stock In'!L:L),0))</f>
        <v/>
      </c>
      <c r="E51" s="45" t="str">
        <f aca="false">IF(A51="","",IFERROR(SUMIF('Stock In'!$A:$A,A51,'Stock In'!O:O),0))</f>
        <v/>
      </c>
      <c r="F51" s="45" t="str">
        <f aca="false">IF(A51="","",IFERROR(SUMIF('Stock In'!$A:$A,A51,'Stock In'!R:R),0))</f>
        <v/>
      </c>
      <c r="G51" s="45" t="str">
        <f aca="false">IF(A51="","",IFERROR(SUMIF('Stock In'!$A:$A,A51,'Stock In'!U:U),0))</f>
        <v/>
      </c>
      <c r="H51" s="45" t="str">
        <f aca="false">IF(A51="","",IFERROR(SUMIF('Stock In'!$A:$A,A51,'Stock In'!X:X),0))</f>
        <v/>
      </c>
      <c r="I51" s="45" t="str">
        <f aca="false">IF(A51="","",IFERROR(SUMIF('Stock In'!$A:$A,A51,'Stock In'!AA:AA),0))</f>
        <v/>
      </c>
      <c r="J51" s="45" t="str">
        <f aca="false">IF(A51="","",IFERROR(SUMIF('Stock In'!$A:$A,A51,'Stock In'!AD:AD),0))</f>
        <v/>
      </c>
      <c r="K51" s="45" t="str">
        <f aca="false">IF(A51="","",IFERROR(SUMIF('Stock In'!$A:$A,A51,'Stock In'!AG:AG),0))</f>
        <v/>
      </c>
      <c r="L51" s="45" t="str">
        <f aca="false">IF(A51="","",IFERROR(SUMIF('Stock In'!$A:$A,A51,'Stock In'!AJ:AJ),0))</f>
        <v/>
      </c>
      <c r="M51" s="45" t="str">
        <f aca="false">IF(A51="","",IFERROR(SUMIF('Stock In'!$A:$A,A51,'Stock In'!AM:AM),0))</f>
        <v/>
      </c>
      <c r="N51" s="46" t="str">
        <f aca="false">IF(A51="","",SUM(B51:M51))</f>
        <v/>
      </c>
    </row>
    <row r="52" customFormat="false" ht="15.75" hidden="false" customHeight="true" outlineLevel="0" collapsed="false">
      <c r="A52" s="41"/>
      <c r="B52" s="42" t="str">
        <f aca="false">IF(A52="","",IFERROR(SUMIF('Stock In'!$A:$A,A52,'Stock In'!F:F),0))</f>
        <v/>
      </c>
      <c r="C52" s="42" t="str">
        <f aca="false">IF(A52="","",IFERROR(SUMIF('Stock In'!$A:$A,A52,'Stock In'!I:I),0))</f>
        <v/>
      </c>
      <c r="D52" s="42" t="str">
        <f aca="false">IF(A52="","",IFERROR(SUMIF('Stock In'!$A:$A,A52,'Stock In'!L:L),0))</f>
        <v/>
      </c>
      <c r="E52" s="42" t="str">
        <f aca="false">IF(A52="","",IFERROR(SUMIF('Stock In'!$A:$A,A52,'Stock In'!O:O),0))</f>
        <v/>
      </c>
      <c r="F52" s="42" t="str">
        <f aca="false">IF(A52="","",IFERROR(SUMIF('Stock In'!$A:$A,A52,'Stock In'!R:R),0))</f>
        <v/>
      </c>
      <c r="G52" s="42" t="str">
        <f aca="false">IF(A52="","",IFERROR(SUMIF('Stock In'!$A:$A,A52,'Stock In'!U:U),0))</f>
        <v/>
      </c>
      <c r="H52" s="42" t="str">
        <f aca="false">IF(A52="","",IFERROR(SUMIF('Stock In'!$A:$A,A52,'Stock In'!X:X),0))</f>
        <v/>
      </c>
      <c r="I52" s="42" t="str">
        <f aca="false">IF(A52="","",IFERROR(SUMIF('Stock In'!$A:$A,A52,'Stock In'!AA:AA),0))</f>
        <v/>
      </c>
      <c r="J52" s="42" t="str">
        <f aca="false">IF(A52="","",IFERROR(SUMIF('Stock In'!$A:$A,A52,'Stock In'!AD:AD),0))</f>
        <v/>
      </c>
      <c r="K52" s="42" t="str">
        <f aca="false">IF(A52="","",IFERROR(SUMIF('Stock In'!$A:$A,A52,'Stock In'!AG:AG),0))</f>
        <v/>
      </c>
      <c r="L52" s="42" t="str">
        <f aca="false">IF(A52="","",IFERROR(SUMIF('Stock In'!$A:$A,A52,'Stock In'!AJ:AJ),0))</f>
        <v/>
      </c>
      <c r="M52" s="42" t="str">
        <f aca="false">IF(A52="","",IFERROR(SUMIF('Stock In'!$A:$A,A52,'Stock In'!AM:AM),0))</f>
        <v/>
      </c>
      <c r="N52" s="43" t="str">
        <f aca="false">IF(A52="","",SUM(B52:M52))</f>
        <v/>
      </c>
    </row>
    <row r="53" customFormat="false" ht="15.75" hidden="false" customHeight="true" outlineLevel="0" collapsed="false">
      <c r="A53" s="44"/>
      <c r="B53" s="45" t="str">
        <f aca="false">IF(A53="","",IFERROR(SUMIF('Stock In'!$A:$A,A53,'Stock In'!F:F),0))</f>
        <v/>
      </c>
      <c r="C53" s="45" t="str">
        <f aca="false">IF(A53="","",IFERROR(SUMIF('Stock In'!$A:$A,A53,'Stock In'!I:I),0))</f>
        <v/>
      </c>
      <c r="D53" s="45" t="str">
        <f aca="false">IF(A53="","",IFERROR(SUMIF('Stock In'!$A:$A,A53,'Stock In'!L:L),0))</f>
        <v/>
      </c>
      <c r="E53" s="45" t="str">
        <f aca="false">IF(A53="","",IFERROR(SUMIF('Stock In'!$A:$A,A53,'Stock In'!O:O),0))</f>
        <v/>
      </c>
      <c r="F53" s="45" t="str">
        <f aca="false">IF(A53="","",IFERROR(SUMIF('Stock In'!$A:$A,A53,'Stock In'!R:R),0))</f>
        <v/>
      </c>
      <c r="G53" s="45" t="str">
        <f aca="false">IF(A53="","",IFERROR(SUMIF('Stock In'!$A:$A,A53,'Stock In'!U:U),0))</f>
        <v/>
      </c>
      <c r="H53" s="45" t="str">
        <f aca="false">IF(A53="","",IFERROR(SUMIF('Stock In'!$A:$A,A53,'Stock In'!X:X),0))</f>
        <v/>
      </c>
      <c r="I53" s="45" t="str">
        <f aca="false">IF(A53="","",IFERROR(SUMIF('Stock In'!$A:$A,A53,'Stock In'!AA:AA),0))</f>
        <v/>
      </c>
      <c r="J53" s="45" t="str">
        <f aca="false">IF(A53="","",IFERROR(SUMIF('Stock In'!$A:$A,A53,'Stock In'!AD:AD),0))</f>
        <v/>
      </c>
      <c r="K53" s="45" t="str">
        <f aca="false">IF(A53="","",IFERROR(SUMIF('Stock In'!$A:$A,A53,'Stock In'!AG:AG),0))</f>
        <v/>
      </c>
      <c r="L53" s="45" t="str">
        <f aca="false">IF(A53="","",IFERROR(SUMIF('Stock In'!$A:$A,A53,'Stock In'!AJ:AJ),0))</f>
        <v/>
      </c>
      <c r="M53" s="45" t="str">
        <f aca="false">IF(A53="","",IFERROR(SUMIF('Stock In'!$A:$A,A53,'Stock In'!AM:AM),0))</f>
        <v/>
      </c>
      <c r="N53" s="46" t="str">
        <f aca="false">IF(A53="","",SUM(B53:M53))</f>
        <v/>
      </c>
    </row>
    <row r="54" customFormat="false" ht="15.75" hidden="false" customHeight="true" outlineLevel="0" collapsed="false">
      <c r="A54" s="41"/>
      <c r="B54" s="42" t="str">
        <f aca="false">IF(A54="","",IFERROR(SUMIF('Stock In'!$A:$A,A54,'Stock In'!F:F),0))</f>
        <v/>
      </c>
      <c r="C54" s="42" t="str">
        <f aca="false">IF(A54="","",IFERROR(SUMIF('Stock In'!$A:$A,A54,'Stock In'!I:I),0))</f>
        <v/>
      </c>
      <c r="D54" s="42" t="str">
        <f aca="false">IF(A54="","",IFERROR(SUMIF('Stock In'!$A:$A,A54,'Stock In'!L:L),0))</f>
        <v/>
      </c>
      <c r="E54" s="42" t="str">
        <f aca="false">IF(A54="","",IFERROR(SUMIF('Stock In'!$A:$A,A54,'Stock In'!O:O),0))</f>
        <v/>
      </c>
      <c r="F54" s="42" t="str">
        <f aca="false">IF(A54="","",IFERROR(SUMIF('Stock In'!$A:$A,A54,'Stock In'!R:R),0))</f>
        <v/>
      </c>
      <c r="G54" s="42" t="str">
        <f aca="false">IF(A54="","",IFERROR(SUMIF('Stock In'!$A:$A,A54,'Stock In'!U:U),0))</f>
        <v/>
      </c>
      <c r="H54" s="42" t="str">
        <f aca="false">IF(A54="","",IFERROR(SUMIF('Stock In'!$A:$A,A54,'Stock In'!X:X),0))</f>
        <v/>
      </c>
      <c r="I54" s="42" t="str">
        <f aca="false">IF(A54="","",IFERROR(SUMIF('Stock In'!$A:$A,A54,'Stock In'!AA:AA),0))</f>
        <v/>
      </c>
      <c r="J54" s="42" t="str">
        <f aca="false">IF(A54="","",IFERROR(SUMIF('Stock In'!$A:$A,A54,'Stock In'!AD:AD),0))</f>
        <v/>
      </c>
      <c r="K54" s="42" t="str">
        <f aca="false">IF(A54="","",IFERROR(SUMIF('Stock In'!$A:$A,A54,'Stock In'!AG:AG),0))</f>
        <v/>
      </c>
      <c r="L54" s="42" t="str">
        <f aca="false">IF(A54="","",IFERROR(SUMIF('Stock In'!$A:$A,A54,'Stock In'!AJ:AJ),0))</f>
        <v/>
      </c>
      <c r="M54" s="42" t="str">
        <f aca="false">IF(A54="","",IFERROR(SUMIF('Stock In'!$A:$A,A54,'Stock In'!AM:AM),0))</f>
        <v/>
      </c>
      <c r="N54" s="43" t="str">
        <f aca="false">IF(A54="","",SUM(B54:M54))</f>
        <v/>
      </c>
    </row>
    <row r="55" customFormat="false" ht="15.75" hidden="false" customHeight="true" outlineLevel="0" collapsed="false">
      <c r="A55" s="44"/>
      <c r="B55" s="45" t="str">
        <f aca="false">IF(A55="","",IFERROR(SUMIF('Stock In'!$A:$A,A55,'Stock In'!F:F),0))</f>
        <v/>
      </c>
      <c r="C55" s="45" t="str">
        <f aca="false">IF(A55="","",IFERROR(SUMIF('Stock In'!$A:$A,A55,'Stock In'!I:I),0))</f>
        <v/>
      </c>
      <c r="D55" s="45" t="str">
        <f aca="false">IF(A55="","",IFERROR(SUMIF('Stock In'!$A:$A,A55,'Stock In'!L:L),0))</f>
        <v/>
      </c>
      <c r="E55" s="45" t="str">
        <f aca="false">IF(A55="","",IFERROR(SUMIF('Stock In'!$A:$A,A55,'Stock In'!O:O),0))</f>
        <v/>
      </c>
      <c r="F55" s="45" t="str">
        <f aca="false">IF(A55="","",IFERROR(SUMIF('Stock In'!$A:$A,A55,'Stock In'!R:R),0))</f>
        <v/>
      </c>
      <c r="G55" s="45" t="str">
        <f aca="false">IF(A55="","",IFERROR(SUMIF('Stock In'!$A:$A,A55,'Stock In'!U:U),0))</f>
        <v/>
      </c>
      <c r="H55" s="45" t="str">
        <f aca="false">IF(A55="","",IFERROR(SUMIF('Stock In'!$A:$A,A55,'Stock In'!X:X),0))</f>
        <v/>
      </c>
      <c r="I55" s="45" t="str">
        <f aca="false">IF(A55="","",IFERROR(SUMIF('Stock In'!$A:$A,A55,'Stock In'!AA:AA),0))</f>
        <v/>
      </c>
      <c r="J55" s="45" t="str">
        <f aca="false">IF(A55="","",IFERROR(SUMIF('Stock In'!$A:$A,A55,'Stock In'!AD:AD),0))</f>
        <v/>
      </c>
      <c r="K55" s="45" t="str">
        <f aca="false">IF(A55="","",IFERROR(SUMIF('Stock In'!$A:$A,A55,'Stock In'!AG:AG),0))</f>
        <v/>
      </c>
      <c r="L55" s="45" t="str">
        <f aca="false">IF(A55="","",IFERROR(SUMIF('Stock In'!$A:$A,A55,'Stock In'!AJ:AJ),0))</f>
        <v/>
      </c>
      <c r="M55" s="45" t="str">
        <f aca="false">IF(A55="","",IFERROR(SUMIF('Stock In'!$A:$A,A55,'Stock In'!AM:AM),0))</f>
        <v/>
      </c>
      <c r="N55" s="46" t="str">
        <f aca="false">IF(A55="","",SUM(B55:M55))</f>
        <v/>
      </c>
    </row>
    <row r="56" customFormat="false" ht="15.75" hidden="false" customHeight="true" outlineLevel="0" collapsed="false">
      <c r="A56" s="41"/>
      <c r="B56" s="42" t="str">
        <f aca="false">IF(A56="","",IFERROR(SUMIF('Stock In'!$A:$A,A56,'Stock In'!F:F),0))</f>
        <v/>
      </c>
      <c r="C56" s="42" t="str">
        <f aca="false">IF(A56="","",IFERROR(SUMIF('Stock In'!$A:$A,A56,'Stock In'!I:I),0))</f>
        <v/>
      </c>
      <c r="D56" s="42" t="str">
        <f aca="false">IF(A56="","",IFERROR(SUMIF('Stock In'!$A:$A,A56,'Stock In'!L:L),0))</f>
        <v/>
      </c>
      <c r="E56" s="42" t="str">
        <f aca="false">IF(A56="","",IFERROR(SUMIF('Stock In'!$A:$A,A56,'Stock In'!O:O),0))</f>
        <v/>
      </c>
      <c r="F56" s="42" t="str">
        <f aca="false">IF(A56="","",IFERROR(SUMIF('Stock In'!$A:$A,A56,'Stock In'!R:R),0))</f>
        <v/>
      </c>
      <c r="G56" s="42" t="str">
        <f aca="false">IF(A56="","",IFERROR(SUMIF('Stock In'!$A:$A,A56,'Stock In'!U:U),0))</f>
        <v/>
      </c>
      <c r="H56" s="42" t="str">
        <f aca="false">IF(A56="","",IFERROR(SUMIF('Stock In'!$A:$A,A56,'Stock In'!X:X),0))</f>
        <v/>
      </c>
      <c r="I56" s="42" t="str">
        <f aca="false">IF(A56="","",IFERROR(SUMIF('Stock In'!$A:$A,A56,'Stock In'!AA:AA),0))</f>
        <v/>
      </c>
      <c r="J56" s="42" t="str">
        <f aca="false">IF(A56="","",IFERROR(SUMIF('Stock In'!$A:$A,A56,'Stock In'!AD:AD),0))</f>
        <v/>
      </c>
      <c r="K56" s="42" t="str">
        <f aca="false">IF(A56="","",IFERROR(SUMIF('Stock In'!$A:$A,A56,'Stock In'!AG:AG),0))</f>
        <v/>
      </c>
      <c r="L56" s="42" t="str">
        <f aca="false">IF(A56="","",IFERROR(SUMIF('Stock In'!$A:$A,A56,'Stock In'!AJ:AJ),0))</f>
        <v/>
      </c>
      <c r="M56" s="42" t="str">
        <f aca="false">IF(A56="","",IFERROR(SUMIF('Stock In'!$A:$A,A56,'Stock In'!AM:AM),0))</f>
        <v/>
      </c>
      <c r="N56" s="43" t="str">
        <f aca="false">IF(A56="","",SUM(B56:M56))</f>
        <v/>
      </c>
    </row>
    <row r="57" customFormat="false" ht="15.75" hidden="false" customHeight="true" outlineLevel="0" collapsed="false">
      <c r="A57" s="44"/>
      <c r="B57" s="45" t="str">
        <f aca="false">IF(A57="","",IFERROR(SUMIF('Stock In'!$A:$A,A57,'Stock In'!F:F),0))</f>
        <v/>
      </c>
      <c r="C57" s="45" t="str">
        <f aca="false">IF(A57="","",IFERROR(SUMIF('Stock In'!$A:$A,A57,'Stock In'!I:I),0))</f>
        <v/>
      </c>
      <c r="D57" s="45" t="str">
        <f aca="false">IF(A57="","",IFERROR(SUMIF('Stock In'!$A:$A,A57,'Stock In'!L:L),0))</f>
        <v/>
      </c>
      <c r="E57" s="45" t="str">
        <f aca="false">IF(A57="","",IFERROR(SUMIF('Stock In'!$A:$A,A57,'Stock In'!O:O),0))</f>
        <v/>
      </c>
      <c r="F57" s="45" t="str">
        <f aca="false">IF(A57="","",IFERROR(SUMIF('Stock In'!$A:$A,A57,'Stock In'!R:R),0))</f>
        <v/>
      </c>
      <c r="G57" s="45" t="str">
        <f aca="false">IF(A57="","",IFERROR(SUMIF('Stock In'!$A:$A,A57,'Stock In'!U:U),0))</f>
        <v/>
      </c>
      <c r="H57" s="45" t="str">
        <f aca="false">IF(A57="","",IFERROR(SUMIF('Stock In'!$A:$A,A57,'Stock In'!X:X),0))</f>
        <v/>
      </c>
      <c r="I57" s="45" t="str">
        <f aca="false">IF(A57="","",IFERROR(SUMIF('Stock In'!$A:$A,A57,'Stock In'!AA:AA),0))</f>
        <v/>
      </c>
      <c r="J57" s="45" t="str">
        <f aca="false">IF(A57="","",IFERROR(SUMIF('Stock In'!$A:$A,A57,'Stock In'!AD:AD),0))</f>
        <v/>
      </c>
      <c r="K57" s="45" t="str">
        <f aca="false">IF(A57="","",IFERROR(SUMIF('Stock In'!$A:$A,A57,'Stock In'!AG:AG),0))</f>
        <v/>
      </c>
      <c r="L57" s="45" t="str">
        <f aca="false">IF(A57="","",IFERROR(SUMIF('Stock In'!$A:$A,A57,'Stock In'!AJ:AJ),0))</f>
        <v/>
      </c>
      <c r="M57" s="45" t="str">
        <f aca="false">IF(A57="","",IFERROR(SUMIF('Stock In'!$A:$A,A57,'Stock In'!AM:AM),0))</f>
        <v/>
      </c>
      <c r="N57" s="46" t="str">
        <f aca="false">IF(A57="","",SUM(B57:M57))</f>
        <v/>
      </c>
    </row>
    <row r="58" customFormat="false" ht="15.75" hidden="false" customHeight="true" outlineLevel="0" collapsed="false">
      <c r="A58" s="41"/>
      <c r="B58" s="42" t="str">
        <f aca="false">IF(A58="","",IFERROR(SUMIF('Stock In'!$A:$A,A58,'Stock In'!F:F),0))</f>
        <v/>
      </c>
      <c r="C58" s="42" t="str">
        <f aca="false">IF(A58="","",IFERROR(SUMIF('Stock In'!$A:$A,A58,'Stock In'!I:I),0))</f>
        <v/>
      </c>
      <c r="D58" s="42" t="str">
        <f aca="false">IF(A58="","",IFERROR(SUMIF('Stock In'!$A:$A,A58,'Stock In'!L:L),0))</f>
        <v/>
      </c>
      <c r="E58" s="42" t="str">
        <f aca="false">IF(A58="","",IFERROR(SUMIF('Stock In'!$A:$A,A58,'Stock In'!O:O),0))</f>
        <v/>
      </c>
      <c r="F58" s="42" t="str">
        <f aca="false">IF(A58="","",IFERROR(SUMIF('Stock In'!$A:$A,A58,'Stock In'!R:R),0))</f>
        <v/>
      </c>
      <c r="G58" s="42" t="str">
        <f aca="false">IF(A58="","",IFERROR(SUMIF('Stock In'!$A:$A,A58,'Stock In'!U:U),0))</f>
        <v/>
      </c>
      <c r="H58" s="42" t="str">
        <f aca="false">IF(A58="","",IFERROR(SUMIF('Stock In'!$A:$A,A58,'Stock In'!X:X),0))</f>
        <v/>
      </c>
      <c r="I58" s="42" t="str">
        <f aca="false">IF(A58="","",IFERROR(SUMIF('Stock In'!$A:$A,A58,'Stock In'!AA:AA),0))</f>
        <v/>
      </c>
      <c r="J58" s="42" t="str">
        <f aca="false">IF(A58="","",IFERROR(SUMIF('Stock In'!$A:$A,A58,'Stock In'!AD:AD),0))</f>
        <v/>
      </c>
      <c r="K58" s="42" t="str">
        <f aca="false">IF(A58="","",IFERROR(SUMIF('Stock In'!$A:$A,A58,'Stock In'!AG:AG),0))</f>
        <v/>
      </c>
      <c r="L58" s="42" t="str">
        <f aca="false">IF(A58="","",IFERROR(SUMIF('Stock In'!$A:$A,A58,'Stock In'!AJ:AJ),0))</f>
        <v/>
      </c>
      <c r="M58" s="42" t="str">
        <f aca="false">IF(A58="","",IFERROR(SUMIF('Stock In'!$A:$A,A58,'Stock In'!AM:AM),0))</f>
        <v/>
      </c>
      <c r="N58" s="43" t="str">
        <f aca="false">IF(A58="","",SUM(B58:M58))</f>
        <v/>
      </c>
    </row>
    <row r="59" customFormat="false" ht="15.75" hidden="false" customHeight="true" outlineLevel="0" collapsed="false">
      <c r="A59" s="44"/>
      <c r="B59" s="45" t="str">
        <f aca="false">IF(A59="","",IFERROR(SUMIF('Stock In'!$A:$A,A59,'Stock In'!F:F),0))</f>
        <v/>
      </c>
      <c r="C59" s="45" t="str">
        <f aca="false">IF(A59="","",IFERROR(SUMIF('Stock In'!$A:$A,A59,'Stock In'!I:I),0))</f>
        <v/>
      </c>
      <c r="D59" s="45" t="str">
        <f aca="false">IF(A59="","",IFERROR(SUMIF('Stock In'!$A:$A,A59,'Stock In'!L:L),0))</f>
        <v/>
      </c>
      <c r="E59" s="45" t="str">
        <f aca="false">IF(A59="","",IFERROR(SUMIF('Stock In'!$A:$A,A59,'Stock In'!O:O),0))</f>
        <v/>
      </c>
      <c r="F59" s="45" t="str">
        <f aca="false">IF(A59="","",IFERROR(SUMIF('Stock In'!$A:$A,A59,'Stock In'!R:R),0))</f>
        <v/>
      </c>
      <c r="G59" s="45" t="str">
        <f aca="false">IF(A59="","",IFERROR(SUMIF('Stock In'!$A:$A,A59,'Stock In'!U:U),0))</f>
        <v/>
      </c>
      <c r="H59" s="45" t="str">
        <f aca="false">IF(A59="","",IFERROR(SUMIF('Stock In'!$A:$A,A59,'Stock In'!X:X),0))</f>
        <v/>
      </c>
      <c r="I59" s="45" t="str">
        <f aca="false">IF(A59="","",IFERROR(SUMIF('Stock In'!$A:$A,A59,'Stock In'!AA:AA),0))</f>
        <v/>
      </c>
      <c r="J59" s="45" t="str">
        <f aca="false">IF(A59="","",IFERROR(SUMIF('Stock In'!$A:$A,A59,'Stock In'!AD:AD),0))</f>
        <v/>
      </c>
      <c r="K59" s="45" t="str">
        <f aca="false">IF(A59="","",IFERROR(SUMIF('Stock In'!$A:$A,A59,'Stock In'!AG:AG),0))</f>
        <v/>
      </c>
      <c r="L59" s="45" t="str">
        <f aca="false">IF(A59="","",IFERROR(SUMIF('Stock In'!$A:$A,A59,'Stock In'!AJ:AJ),0))</f>
        <v/>
      </c>
      <c r="M59" s="45" t="str">
        <f aca="false">IF(A59="","",IFERROR(SUMIF('Stock In'!$A:$A,A59,'Stock In'!AM:AM),0))</f>
        <v/>
      </c>
      <c r="N59" s="46" t="str">
        <f aca="false">IF(A59="","",SUM(B59:M59))</f>
        <v/>
      </c>
    </row>
    <row r="60" customFormat="false" ht="15.75" hidden="false" customHeight="true" outlineLevel="0" collapsed="false">
      <c r="A60" s="41"/>
      <c r="B60" s="42" t="str">
        <f aca="false">IF(A60="","",IFERROR(SUMIF('Stock In'!$A:$A,A60,'Stock In'!F:F),0))</f>
        <v/>
      </c>
      <c r="C60" s="42" t="str">
        <f aca="false">IF(A60="","",IFERROR(SUMIF('Stock In'!$A:$A,A60,'Stock In'!I:I),0))</f>
        <v/>
      </c>
      <c r="D60" s="42" t="str">
        <f aca="false">IF(A60="","",IFERROR(SUMIF('Stock In'!$A:$A,A60,'Stock In'!L:L),0))</f>
        <v/>
      </c>
      <c r="E60" s="42" t="str">
        <f aca="false">IF(A60="","",IFERROR(SUMIF('Stock In'!$A:$A,A60,'Stock In'!O:O),0))</f>
        <v/>
      </c>
      <c r="F60" s="42" t="str">
        <f aca="false">IF(A60="","",IFERROR(SUMIF('Stock In'!$A:$A,A60,'Stock In'!R:R),0))</f>
        <v/>
      </c>
      <c r="G60" s="42" t="str">
        <f aca="false">IF(A60="","",IFERROR(SUMIF('Stock In'!$A:$A,A60,'Stock In'!U:U),0))</f>
        <v/>
      </c>
      <c r="H60" s="42" t="str">
        <f aca="false">IF(A60="","",IFERROR(SUMIF('Stock In'!$A:$A,A60,'Stock In'!X:X),0))</f>
        <v/>
      </c>
      <c r="I60" s="42" t="str">
        <f aca="false">IF(A60="","",IFERROR(SUMIF('Stock In'!$A:$A,A60,'Stock In'!AA:AA),0))</f>
        <v/>
      </c>
      <c r="J60" s="42" t="str">
        <f aca="false">IF(A60="","",IFERROR(SUMIF('Stock In'!$A:$A,A60,'Stock In'!AD:AD),0))</f>
        <v/>
      </c>
      <c r="K60" s="42" t="str">
        <f aca="false">IF(A60="","",IFERROR(SUMIF('Stock In'!$A:$A,A60,'Stock In'!AG:AG),0))</f>
        <v/>
      </c>
      <c r="L60" s="42" t="str">
        <f aca="false">IF(A60="","",IFERROR(SUMIF('Stock In'!$A:$A,A60,'Stock In'!AJ:AJ),0))</f>
        <v/>
      </c>
      <c r="M60" s="42" t="str">
        <f aca="false">IF(A60="","",IFERROR(SUMIF('Stock In'!$A:$A,A60,'Stock In'!AM:AM),0))</f>
        <v/>
      </c>
      <c r="N60" s="43" t="str">
        <f aca="false">IF(A60="","",SUM(B60:M60))</f>
        <v/>
      </c>
    </row>
    <row r="61" customFormat="false" ht="15.75" hidden="false" customHeight="true" outlineLevel="0" collapsed="false">
      <c r="A61" s="44"/>
      <c r="B61" s="45" t="str">
        <f aca="false">IF(A61="","",IFERROR(SUMIF('Stock In'!$A:$A,A61,'Stock In'!F:F),0))</f>
        <v/>
      </c>
      <c r="C61" s="45" t="str">
        <f aca="false">IF(A61="","",IFERROR(SUMIF('Stock In'!$A:$A,A61,'Stock In'!I:I),0))</f>
        <v/>
      </c>
      <c r="D61" s="45" t="str">
        <f aca="false">IF(A61="","",IFERROR(SUMIF('Stock In'!$A:$A,A61,'Stock In'!L:L),0))</f>
        <v/>
      </c>
      <c r="E61" s="45" t="str">
        <f aca="false">IF(A61="","",IFERROR(SUMIF('Stock In'!$A:$A,A61,'Stock In'!O:O),0))</f>
        <v/>
      </c>
      <c r="F61" s="45" t="str">
        <f aca="false">IF(A61="","",IFERROR(SUMIF('Stock In'!$A:$A,A61,'Stock In'!R:R),0))</f>
        <v/>
      </c>
      <c r="G61" s="45" t="str">
        <f aca="false">IF(A61="","",IFERROR(SUMIF('Stock In'!$A:$A,A61,'Stock In'!U:U),0))</f>
        <v/>
      </c>
      <c r="H61" s="45" t="str">
        <f aca="false">IF(A61="","",IFERROR(SUMIF('Stock In'!$A:$A,A61,'Stock In'!X:X),0))</f>
        <v/>
      </c>
      <c r="I61" s="45" t="str">
        <f aca="false">IF(A61="","",IFERROR(SUMIF('Stock In'!$A:$A,A61,'Stock In'!AA:AA),0))</f>
        <v/>
      </c>
      <c r="J61" s="45" t="str">
        <f aca="false">IF(A61="","",IFERROR(SUMIF('Stock In'!$A:$A,A61,'Stock In'!AD:AD),0))</f>
        <v/>
      </c>
      <c r="K61" s="45" t="str">
        <f aca="false">IF(A61="","",IFERROR(SUMIF('Stock In'!$A:$A,A61,'Stock In'!AG:AG),0))</f>
        <v/>
      </c>
      <c r="L61" s="45" t="str">
        <f aca="false">IF(A61="","",IFERROR(SUMIF('Stock In'!$A:$A,A61,'Stock In'!AJ:AJ),0))</f>
        <v/>
      </c>
      <c r="M61" s="45" t="str">
        <f aca="false">IF(A61="","",IFERROR(SUMIF('Stock In'!$A:$A,A61,'Stock In'!AM:AM),0))</f>
        <v/>
      </c>
      <c r="N61" s="46" t="str">
        <f aca="false">IF(A61="","",SUM(B61:M61))</f>
        <v/>
      </c>
    </row>
    <row r="62" customFormat="false" ht="15.75" hidden="false" customHeight="true" outlineLevel="0" collapsed="false">
      <c r="A62" s="41"/>
      <c r="B62" s="42" t="str">
        <f aca="false">IF(A62="","",IFERROR(SUMIF('Stock In'!$A:$A,A62,'Stock In'!F:F),0))</f>
        <v/>
      </c>
      <c r="C62" s="42" t="str">
        <f aca="false">IF(A62="","",IFERROR(SUMIF('Stock In'!$A:$A,A62,'Stock In'!I:I),0))</f>
        <v/>
      </c>
      <c r="D62" s="42" t="str">
        <f aca="false">IF(A62="","",IFERROR(SUMIF('Stock In'!$A:$A,A62,'Stock In'!L:L),0))</f>
        <v/>
      </c>
      <c r="E62" s="42" t="str">
        <f aca="false">IF(A62="","",IFERROR(SUMIF('Stock In'!$A:$A,A62,'Stock In'!O:O),0))</f>
        <v/>
      </c>
      <c r="F62" s="42" t="str">
        <f aca="false">IF(A62="","",IFERROR(SUMIF('Stock In'!$A:$A,A62,'Stock In'!R:R),0))</f>
        <v/>
      </c>
      <c r="G62" s="42" t="str">
        <f aca="false">IF(A62="","",IFERROR(SUMIF('Stock In'!$A:$A,A62,'Stock In'!U:U),0))</f>
        <v/>
      </c>
      <c r="H62" s="42" t="str">
        <f aca="false">IF(A62="","",IFERROR(SUMIF('Stock In'!$A:$A,A62,'Stock In'!X:X),0))</f>
        <v/>
      </c>
      <c r="I62" s="42" t="str">
        <f aca="false">IF(A62="","",IFERROR(SUMIF('Stock In'!$A:$A,A62,'Stock In'!AA:AA),0))</f>
        <v/>
      </c>
      <c r="J62" s="42" t="str">
        <f aca="false">IF(A62="","",IFERROR(SUMIF('Stock In'!$A:$A,A62,'Stock In'!AD:AD),0))</f>
        <v/>
      </c>
      <c r="K62" s="42" t="str">
        <f aca="false">IF(A62="","",IFERROR(SUMIF('Stock In'!$A:$A,A62,'Stock In'!AG:AG),0))</f>
        <v/>
      </c>
      <c r="L62" s="42" t="str">
        <f aca="false">IF(A62="","",IFERROR(SUMIF('Stock In'!$A:$A,A62,'Stock In'!AJ:AJ),0))</f>
        <v/>
      </c>
      <c r="M62" s="42" t="str">
        <f aca="false">IF(A62="","",IFERROR(SUMIF('Stock In'!$A:$A,A62,'Stock In'!AM:AM),0))</f>
        <v/>
      </c>
      <c r="N62" s="43" t="str">
        <f aca="false">IF(A62="","",SUM(B62:M62))</f>
        <v/>
      </c>
    </row>
    <row r="63" customFormat="false" ht="15.75" hidden="false" customHeight="true" outlineLevel="0" collapsed="false">
      <c r="A63" s="44"/>
      <c r="B63" s="45" t="str">
        <f aca="false">IF(A63="","",IFERROR(SUMIF('Stock In'!$A:$A,A63,'Stock In'!F:F),0))</f>
        <v/>
      </c>
      <c r="C63" s="45" t="str">
        <f aca="false">IF(A63="","",IFERROR(SUMIF('Stock In'!$A:$A,A63,'Stock In'!I:I),0))</f>
        <v/>
      </c>
      <c r="D63" s="45" t="str">
        <f aca="false">IF(A63="","",IFERROR(SUMIF('Stock In'!$A:$A,A63,'Stock In'!L:L),0))</f>
        <v/>
      </c>
      <c r="E63" s="45" t="str">
        <f aca="false">IF(A63="","",IFERROR(SUMIF('Stock In'!$A:$A,A63,'Stock In'!O:O),0))</f>
        <v/>
      </c>
      <c r="F63" s="45" t="str">
        <f aca="false">IF(A63="","",IFERROR(SUMIF('Stock In'!$A:$A,A63,'Stock In'!R:R),0))</f>
        <v/>
      </c>
      <c r="G63" s="45" t="str">
        <f aca="false">IF(A63="","",IFERROR(SUMIF('Stock In'!$A:$A,A63,'Stock In'!U:U),0))</f>
        <v/>
      </c>
      <c r="H63" s="45" t="str">
        <f aca="false">IF(A63="","",IFERROR(SUMIF('Stock In'!$A:$A,A63,'Stock In'!X:X),0))</f>
        <v/>
      </c>
      <c r="I63" s="45" t="str">
        <f aca="false">IF(A63="","",IFERROR(SUMIF('Stock In'!$A:$A,A63,'Stock In'!AA:AA),0))</f>
        <v/>
      </c>
      <c r="J63" s="45" t="str">
        <f aca="false">IF(A63="","",IFERROR(SUMIF('Stock In'!$A:$A,A63,'Stock In'!AD:AD),0))</f>
        <v/>
      </c>
      <c r="K63" s="45" t="str">
        <f aca="false">IF(A63="","",IFERROR(SUMIF('Stock In'!$A:$A,A63,'Stock In'!AG:AG),0))</f>
        <v/>
      </c>
      <c r="L63" s="45" t="str">
        <f aca="false">IF(A63="","",IFERROR(SUMIF('Stock In'!$A:$A,A63,'Stock In'!AJ:AJ),0))</f>
        <v/>
      </c>
      <c r="M63" s="45" t="str">
        <f aca="false">IF(A63="","",IFERROR(SUMIF('Stock In'!$A:$A,A63,'Stock In'!AM:AM),0))</f>
        <v/>
      </c>
      <c r="N63" s="46" t="str">
        <f aca="false">IF(A63="","",SUM(B63:M63))</f>
        <v/>
      </c>
    </row>
    <row r="64" customFormat="false" ht="15.75" hidden="false" customHeight="true" outlineLevel="0" collapsed="false">
      <c r="A64" s="41"/>
      <c r="B64" s="42" t="str">
        <f aca="false">IF(A64="","",IFERROR(SUMIF('Stock In'!$A:$A,A64,'Stock In'!F:F),0))</f>
        <v/>
      </c>
      <c r="C64" s="42" t="str">
        <f aca="false">IF(A64="","",IFERROR(SUMIF('Stock In'!$A:$A,A64,'Stock In'!I:I),0))</f>
        <v/>
      </c>
      <c r="D64" s="42" t="str">
        <f aca="false">IF(A64="","",IFERROR(SUMIF('Stock In'!$A:$A,A64,'Stock In'!L:L),0))</f>
        <v/>
      </c>
      <c r="E64" s="42" t="str">
        <f aca="false">IF(A64="","",IFERROR(SUMIF('Stock In'!$A:$A,A64,'Stock In'!O:O),0))</f>
        <v/>
      </c>
      <c r="F64" s="42" t="str">
        <f aca="false">IF(A64="","",IFERROR(SUMIF('Stock In'!$A:$A,A64,'Stock In'!R:R),0))</f>
        <v/>
      </c>
      <c r="G64" s="42" t="str">
        <f aca="false">IF(A64="","",IFERROR(SUMIF('Stock In'!$A:$A,A64,'Stock In'!U:U),0))</f>
        <v/>
      </c>
      <c r="H64" s="42" t="str">
        <f aca="false">IF(A64="","",IFERROR(SUMIF('Stock In'!$A:$A,A64,'Stock In'!X:X),0))</f>
        <v/>
      </c>
      <c r="I64" s="42" t="str">
        <f aca="false">IF(A64="","",IFERROR(SUMIF('Stock In'!$A:$A,A64,'Stock In'!AA:AA),0))</f>
        <v/>
      </c>
      <c r="J64" s="42" t="str">
        <f aca="false">IF(A64="","",IFERROR(SUMIF('Stock In'!$A:$A,A64,'Stock In'!AD:AD),0))</f>
        <v/>
      </c>
      <c r="K64" s="42" t="str">
        <f aca="false">IF(A64="","",IFERROR(SUMIF('Stock In'!$A:$A,A64,'Stock In'!AG:AG),0))</f>
        <v/>
      </c>
      <c r="L64" s="42" t="str">
        <f aca="false">IF(A64="","",IFERROR(SUMIF('Stock In'!$A:$A,A64,'Stock In'!AJ:AJ),0))</f>
        <v/>
      </c>
      <c r="M64" s="42" t="str">
        <f aca="false">IF(A64="","",IFERROR(SUMIF('Stock In'!$A:$A,A64,'Stock In'!AM:AM),0))</f>
        <v/>
      </c>
      <c r="N64" s="43" t="str">
        <f aca="false">IF(A64="","",SUM(B64:M64))</f>
        <v/>
      </c>
    </row>
    <row r="65" customFormat="false" ht="15.75" hidden="false" customHeight="true" outlineLevel="0" collapsed="false">
      <c r="A65" s="44"/>
      <c r="B65" s="45" t="str">
        <f aca="false">IF(A65="","",IFERROR(SUMIF('Stock In'!$A:$A,A65,'Stock In'!F:F),0))</f>
        <v/>
      </c>
      <c r="C65" s="45" t="str">
        <f aca="false">IF(A65="","",IFERROR(SUMIF('Stock In'!$A:$A,A65,'Stock In'!I:I),0))</f>
        <v/>
      </c>
      <c r="D65" s="45" t="str">
        <f aca="false">IF(A65="","",IFERROR(SUMIF('Stock In'!$A:$A,A65,'Stock In'!L:L),0))</f>
        <v/>
      </c>
      <c r="E65" s="45" t="str">
        <f aca="false">IF(A65="","",IFERROR(SUMIF('Stock In'!$A:$A,A65,'Stock In'!O:O),0))</f>
        <v/>
      </c>
      <c r="F65" s="45" t="str">
        <f aca="false">IF(A65="","",IFERROR(SUMIF('Stock In'!$A:$A,A65,'Stock In'!R:R),0))</f>
        <v/>
      </c>
      <c r="G65" s="45" t="str">
        <f aca="false">IF(A65="","",IFERROR(SUMIF('Stock In'!$A:$A,A65,'Stock In'!U:U),0))</f>
        <v/>
      </c>
      <c r="H65" s="45" t="str">
        <f aca="false">IF(A65="","",IFERROR(SUMIF('Stock In'!$A:$A,A65,'Stock In'!X:X),0))</f>
        <v/>
      </c>
      <c r="I65" s="45" t="str">
        <f aca="false">IF(A65="","",IFERROR(SUMIF('Stock In'!$A:$A,A65,'Stock In'!AA:AA),0))</f>
        <v/>
      </c>
      <c r="J65" s="45" t="str">
        <f aca="false">IF(A65="","",IFERROR(SUMIF('Stock In'!$A:$A,A65,'Stock In'!AD:AD),0))</f>
        <v/>
      </c>
      <c r="K65" s="45" t="str">
        <f aca="false">IF(A65="","",IFERROR(SUMIF('Stock In'!$A:$A,A65,'Stock In'!AG:AG),0))</f>
        <v/>
      </c>
      <c r="L65" s="45" t="str">
        <f aca="false">IF(A65="","",IFERROR(SUMIF('Stock In'!$A:$A,A65,'Stock In'!AJ:AJ),0))</f>
        <v/>
      </c>
      <c r="M65" s="45" t="str">
        <f aca="false">IF(A65="","",IFERROR(SUMIF('Stock In'!$A:$A,A65,'Stock In'!AM:AM),0))</f>
        <v/>
      </c>
      <c r="N65" s="46" t="str">
        <f aca="false">IF(A65="","",SUM(B65:M65))</f>
        <v/>
      </c>
    </row>
    <row r="66" customFormat="false" ht="15.75" hidden="false" customHeight="true" outlineLevel="0" collapsed="false">
      <c r="A66" s="41"/>
      <c r="B66" s="42" t="str">
        <f aca="false">IF(A66="","",IFERROR(SUMIF('Stock In'!$A:$A,A66,'Stock In'!F:F),0))</f>
        <v/>
      </c>
      <c r="C66" s="42" t="str">
        <f aca="false">IF(A66="","",IFERROR(SUMIF('Stock In'!$A:$A,A66,'Stock In'!I:I),0))</f>
        <v/>
      </c>
      <c r="D66" s="42" t="str">
        <f aca="false">IF(A66="","",IFERROR(SUMIF('Stock In'!$A:$A,A66,'Stock In'!L:L),0))</f>
        <v/>
      </c>
      <c r="E66" s="42" t="str">
        <f aca="false">IF(A66="","",IFERROR(SUMIF('Stock In'!$A:$A,A66,'Stock In'!O:O),0))</f>
        <v/>
      </c>
      <c r="F66" s="42" t="str">
        <f aca="false">IF(A66="","",IFERROR(SUMIF('Stock In'!$A:$A,A66,'Stock In'!R:R),0))</f>
        <v/>
      </c>
      <c r="G66" s="42" t="str">
        <f aca="false">IF(A66="","",IFERROR(SUMIF('Stock In'!$A:$A,A66,'Stock In'!U:U),0))</f>
        <v/>
      </c>
      <c r="H66" s="42" t="str">
        <f aca="false">IF(A66="","",IFERROR(SUMIF('Stock In'!$A:$A,A66,'Stock In'!X:X),0))</f>
        <v/>
      </c>
      <c r="I66" s="42" t="str">
        <f aca="false">IF(A66="","",IFERROR(SUMIF('Stock In'!$A:$A,A66,'Stock In'!AA:AA),0))</f>
        <v/>
      </c>
      <c r="J66" s="42" t="str">
        <f aca="false">IF(A66="","",IFERROR(SUMIF('Stock In'!$A:$A,A66,'Stock In'!AD:AD),0))</f>
        <v/>
      </c>
      <c r="K66" s="42" t="str">
        <f aca="false">IF(A66="","",IFERROR(SUMIF('Stock In'!$A:$A,A66,'Stock In'!AG:AG),0))</f>
        <v/>
      </c>
      <c r="L66" s="42" t="str">
        <f aca="false">IF(A66="","",IFERROR(SUMIF('Stock In'!$A:$A,A66,'Stock In'!AJ:AJ),0))</f>
        <v/>
      </c>
      <c r="M66" s="42" t="str">
        <f aca="false">IF(A66="","",IFERROR(SUMIF('Stock In'!$A:$A,A66,'Stock In'!AM:AM),0))</f>
        <v/>
      </c>
      <c r="N66" s="43" t="str">
        <f aca="false">IF(A66="","",SUM(B66:M66))</f>
        <v/>
      </c>
    </row>
    <row r="67" customFormat="false" ht="15.75" hidden="false" customHeight="true" outlineLevel="0" collapsed="false">
      <c r="A67" s="44"/>
      <c r="B67" s="45" t="str">
        <f aca="false">IF(A67="","",IFERROR(SUMIF('Stock In'!$A:$A,A67,'Stock In'!F:F),0))</f>
        <v/>
      </c>
      <c r="C67" s="45" t="str">
        <f aca="false">IF(A67="","",IFERROR(SUMIF('Stock In'!$A:$A,A67,'Stock In'!I:I),0))</f>
        <v/>
      </c>
      <c r="D67" s="45" t="str">
        <f aca="false">IF(A67="","",IFERROR(SUMIF('Stock In'!$A:$A,A67,'Stock In'!L:L),0))</f>
        <v/>
      </c>
      <c r="E67" s="45" t="str">
        <f aca="false">IF(A67="","",IFERROR(SUMIF('Stock In'!$A:$A,A67,'Stock In'!O:O),0))</f>
        <v/>
      </c>
      <c r="F67" s="45" t="str">
        <f aca="false">IF(A67="","",IFERROR(SUMIF('Stock In'!$A:$A,A67,'Stock In'!R:R),0))</f>
        <v/>
      </c>
      <c r="G67" s="45" t="str">
        <f aca="false">IF(A67="","",IFERROR(SUMIF('Stock In'!$A:$A,A67,'Stock In'!U:U),0))</f>
        <v/>
      </c>
      <c r="H67" s="45" t="str">
        <f aca="false">IF(A67="","",IFERROR(SUMIF('Stock In'!$A:$A,A67,'Stock In'!X:X),0))</f>
        <v/>
      </c>
      <c r="I67" s="45" t="str">
        <f aca="false">IF(A67="","",IFERROR(SUMIF('Stock In'!$A:$A,A67,'Stock In'!AA:AA),0))</f>
        <v/>
      </c>
      <c r="J67" s="45" t="str">
        <f aca="false">IF(A67="","",IFERROR(SUMIF('Stock In'!$A:$A,A67,'Stock In'!AD:AD),0))</f>
        <v/>
      </c>
      <c r="K67" s="45" t="str">
        <f aca="false">IF(A67="","",IFERROR(SUMIF('Stock In'!$A:$A,A67,'Stock In'!AG:AG),0))</f>
        <v/>
      </c>
      <c r="L67" s="45" t="str">
        <f aca="false">IF(A67="","",IFERROR(SUMIF('Stock In'!$A:$A,A67,'Stock In'!AJ:AJ),0))</f>
        <v/>
      </c>
      <c r="M67" s="45" t="str">
        <f aca="false">IF(A67="","",IFERROR(SUMIF('Stock In'!$A:$A,A67,'Stock In'!AM:AM),0))</f>
        <v/>
      </c>
      <c r="N67" s="46" t="str">
        <f aca="false">IF(A67="","",SUM(B67:M67))</f>
        <v/>
      </c>
    </row>
    <row r="68" customFormat="false" ht="13.8" hidden="false" customHeight="false" outlineLevel="0" collapsed="false"/>
    <row r="69" customFormat="false" ht="7.5" hidden="false" customHeight="true" outlineLevel="0" collapsed="false"/>
    <row r="70" customFormat="false" ht="21.75" hidden="false" customHeight="true" outlineLevel="0" collapsed="false">
      <c r="A70" s="47" t="s">
        <v>63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</row>
    <row r="71" customFormat="false" ht="15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3" t="str">
        <f aca="false">IF(A71="","",SUM(B71:M71))</f>
        <v/>
      </c>
    </row>
    <row r="72" customFormat="false" ht="15.75" hidden="false" customHeight="true" outlineLevel="0" collapsed="false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6" t="str">
        <f aca="false">IF(A72="","",SUM(B72:M72))</f>
        <v/>
      </c>
    </row>
    <row r="73" customFormat="false" ht="15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3" t="str">
        <f aca="false">IF(A73="","",SUM(B73:M73))</f>
        <v/>
      </c>
    </row>
    <row r="74" customFormat="false" ht="15.75" hidden="false" customHeight="true" outlineLevel="0" collapsed="false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6" t="str">
        <f aca="false">IF(A74="","",SUM(B74:M74))</f>
        <v/>
      </c>
    </row>
    <row r="75" customFormat="false" ht="15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3" t="str">
        <f aca="false">IF(A75="","",SUM(B75:M75))</f>
        <v/>
      </c>
    </row>
    <row r="76" customFormat="false" ht="15.75" hidden="false" customHeight="true" outlineLevel="0" collapsed="false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6" t="str">
        <f aca="false">IF(A76="","",SUM(B76:M76))</f>
        <v/>
      </c>
    </row>
    <row r="77" customFormat="false" ht="15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3" t="str">
        <f aca="false">IF(A77="","",SUM(B77:M77))</f>
        <v/>
      </c>
    </row>
    <row r="78" customFormat="false" ht="15.75" hidden="false" customHeight="true" outlineLevel="0" collapsed="false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6" t="str">
        <f aca="false">IF(A78="","",SUM(B78:M78))</f>
        <v/>
      </c>
    </row>
    <row r="79" customFormat="false" ht="15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3" t="str">
        <f aca="false">IF(A79="","",SUM(B79:M79))</f>
        <v/>
      </c>
    </row>
    <row r="80" customFormat="false" ht="15.75" hidden="false" customHeight="true" outlineLevel="0" collapsed="false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6" t="str">
        <f aca="false">IF(A80="","",SUM(B80:M80))</f>
        <v/>
      </c>
    </row>
    <row r="81" customFormat="false" ht="15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3" t="str">
        <f aca="false">IF(A81="","",SUM(B81:M81))</f>
        <v/>
      </c>
    </row>
    <row r="82" customFormat="false" ht="15.75" hidden="false" customHeight="true" outlineLevel="0" collapsed="false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6" t="str">
        <f aca="false">IF(A82="","",SUM(B82:M82))</f>
        <v/>
      </c>
    </row>
    <row r="83" customFormat="false" ht="15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3" t="str">
        <f aca="false">IF(A83="","",SUM(B83:M83))</f>
        <v/>
      </c>
    </row>
    <row r="84" customFormat="false" ht="15.75" hidden="false" customHeight="true" outlineLevel="0" collapsed="false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6" t="str">
        <f aca="false">IF(A84="","",SUM(B84:M84))</f>
        <v/>
      </c>
    </row>
    <row r="85" customFormat="false" ht="15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3" t="str">
        <f aca="false">IF(A85="","",SUM(B85:M85))</f>
        <v/>
      </c>
    </row>
    <row r="86" customFormat="false" ht="15.75" hidden="false" customHeight="true" outlineLevel="0" collapsed="false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6" t="str">
        <f aca="false">IF(A86="","",SUM(B86:M86))</f>
        <v/>
      </c>
    </row>
    <row r="87" customFormat="false" ht="15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3" t="str">
        <f aca="false">IF(A87="","",SUM(B87:M87))</f>
        <v/>
      </c>
    </row>
    <row r="88" customFormat="false" ht="15.75" hidden="false" customHeight="true" outlineLevel="0" collapsed="false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6" t="str">
        <f aca="false">IF(A88="","",SUM(B88:M88))</f>
        <v/>
      </c>
    </row>
    <row r="89" customFormat="false" ht="15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3" t="str">
        <f aca="false">IF(A89="","",SUM(B89:M89))</f>
        <v/>
      </c>
    </row>
    <row r="90" customFormat="false" ht="15.75" hidden="false" customHeight="true" outlineLevel="0" collapsed="false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6" t="str">
        <f aca="false">IF(A90="","",SUM(B90:M90))</f>
        <v/>
      </c>
    </row>
    <row r="91" customFormat="false" ht="15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3" t="str">
        <f aca="false">IF(A91="","",SUM(B91:M91))</f>
        <v/>
      </c>
    </row>
    <row r="92" customFormat="false" ht="15.75" hidden="false" customHeight="true" outlineLevel="0" collapsed="false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6" t="str">
        <f aca="false">IF(A92="","",SUM(B92:M92))</f>
        <v/>
      </c>
    </row>
    <row r="93" customFormat="false" ht="15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3" t="str">
        <f aca="false">IF(A93="","",SUM(B93:M93))</f>
        <v/>
      </c>
    </row>
    <row r="94" customFormat="false" ht="15.75" hidden="false" customHeight="true" outlineLevel="0" collapsed="false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6" t="str">
        <f aca="false">IF(A94="","",SUM(B94:M94))</f>
        <v/>
      </c>
    </row>
    <row r="95" customFormat="false" ht="15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3" t="str">
        <f aca="false">IF(A95="","",SUM(B95:M95))</f>
        <v/>
      </c>
    </row>
    <row r="96" customFormat="false" ht="15.75" hidden="false" customHeight="true" outlineLevel="0" collapsed="false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6" t="str">
        <f aca="false">IF(A96="","",SUM(B96:M96))</f>
        <v/>
      </c>
    </row>
    <row r="97" customFormat="false" ht="13.8" hidden="false" customHeight="false" outlineLevel="0" collapsed="false"/>
    <row r="98" customFormat="false" ht="7.5" hidden="false" customHeight="true" outlineLevel="0" collapsed="false"/>
    <row r="99" customFormat="false" ht="21.75" hidden="false" customHeight="true" outlineLevel="0" collapsed="false">
      <c r="A99" s="48" t="s">
        <v>64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</row>
    <row r="100" customFormat="false" ht="18" hidden="false" customHeight="true" outlineLevel="0" collapsed="false">
      <c r="A100" s="49" t="s">
        <v>65</v>
      </c>
      <c r="B100" s="42" t="n">
        <f aca="false">IFERROR(SUMPRODUCT((TEXT('Stock In'!$A$7:$A$506,"MMM YYYY")=A100)*ISNUMBER('Stock In'!$A$7:$A$506)*'Stock In'!F7:F506),0)</f>
        <v>0</v>
      </c>
      <c r="C100" s="42" t="n">
        <f aca="false">IFERROR(SUMPRODUCT((TEXT('Stock In'!$A$7:$A$506,"MMM YYYY")=A100)*ISNUMBER('Stock In'!$A$7:$A$506)*'Stock In'!I7:I506),0)</f>
        <v>0</v>
      </c>
      <c r="D100" s="42" t="n">
        <f aca="false">IFERROR(SUMPRODUCT((TEXT('Stock In'!$A$7:$A$506,"MMM YYYY")=A100)*ISNUMBER('Stock In'!$A$7:$A$506)*'Stock In'!L7:L506),0)</f>
        <v>0</v>
      </c>
      <c r="E100" s="42" t="n">
        <f aca="false">IFERROR(SUMPRODUCT((TEXT('Stock In'!$A$7:$A$506,"MMM YYYY")=A100)*ISNUMBER('Stock In'!$A$7:$A$506)*'Stock In'!O7:O506),0)</f>
        <v>0</v>
      </c>
      <c r="F100" s="42" t="n">
        <f aca="false">IFERROR(SUMPRODUCT((TEXT('Stock In'!$A$7:$A$506,"MMM YYYY")=A100)*ISNUMBER('Stock In'!$A$7:$A$506)*'Stock In'!R7:R506),0)</f>
        <v>0</v>
      </c>
      <c r="G100" s="42" t="n">
        <f aca="false">IFERROR(SUMPRODUCT((TEXT('Stock In'!$A$7:$A$506,"MMM YYYY")=A100)*ISNUMBER('Stock In'!$A$7:$A$506)*'Stock In'!U7:U506),0)</f>
        <v>0</v>
      </c>
      <c r="H100" s="42" t="n">
        <f aca="false">IFERROR(SUMPRODUCT((TEXT('Stock In'!$A$7:$A$506,"MMM YYYY")=A100)*ISNUMBER('Stock In'!$A$7:$A$506)*'Stock In'!X7:X506),0)</f>
        <v>0</v>
      </c>
      <c r="I100" s="42" t="n">
        <f aca="false">IFERROR(SUMPRODUCT((TEXT('Stock In'!$A$7:$A$506,"MMM YYYY")=A100)*ISNUMBER('Stock In'!$A$7:$A$506)*'Stock In'!AA7:AA506),0)</f>
        <v>0</v>
      </c>
      <c r="J100" s="42" t="n">
        <f aca="false">IFERROR(SUMPRODUCT((TEXT('Stock In'!$A$7:$A$506,"MMM YYYY")=A100)*ISNUMBER('Stock In'!$A$7:$A$506)*'Stock In'!AD7:AD506),0)</f>
        <v>0</v>
      </c>
      <c r="K100" s="42" t="n">
        <f aca="false">IFERROR(SUMPRODUCT((TEXT('Stock In'!$A$7:$A$506,"MMM YYYY")=A100)*ISNUMBER('Stock In'!$A$7:$A$506)*'Stock In'!AG7:AG506),0)</f>
        <v>0</v>
      </c>
      <c r="L100" s="42" t="n">
        <f aca="false">IFERROR(SUMPRODUCT((TEXT('Stock In'!$A$7:$A$506,"MMM YYYY")=A100)*ISNUMBER('Stock In'!$A$7:$A$506)*'Stock In'!AJ7:AJ506),0)</f>
        <v>0</v>
      </c>
      <c r="M100" s="42" t="n">
        <f aca="false">IFERROR(SUMPRODUCT((TEXT('Stock In'!$A$7:$A$506,"MMM YYYY")=A100)*ISNUMBER('Stock In'!$A$7:$A$506)*'Stock In'!AM7:AM506),0)</f>
        <v>0</v>
      </c>
      <c r="N100" s="43" t="n">
        <f aca="false">SUM(B100:M100)</f>
        <v>0</v>
      </c>
    </row>
    <row r="101" customFormat="false" ht="18" hidden="false" customHeight="true" outlineLevel="0" collapsed="false">
      <c r="A101" s="50" t="s">
        <v>66</v>
      </c>
      <c r="B101" s="45" t="n">
        <f aca="false">IFERROR(SUMPRODUCT((TEXT('Stock In'!$A$7:$A$506,"MMM YYYY")=A101)*ISNUMBER('Stock In'!$A$7:$A$506)*'Stock In'!F7:F506),0)</f>
        <v>0</v>
      </c>
      <c r="C101" s="45" t="n">
        <f aca="false">IFERROR(SUMPRODUCT((TEXT('Stock In'!$A$7:$A$506,"MMM YYYY")=A101)*ISNUMBER('Stock In'!$A$7:$A$506)*'Stock In'!I7:I506),0)</f>
        <v>0</v>
      </c>
      <c r="D101" s="45" t="n">
        <f aca="false">IFERROR(SUMPRODUCT((TEXT('Stock In'!$A$7:$A$506,"MMM YYYY")=A101)*ISNUMBER('Stock In'!$A$7:$A$506)*'Stock In'!L7:L506),0)</f>
        <v>0</v>
      </c>
      <c r="E101" s="45" t="n">
        <f aca="false">IFERROR(SUMPRODUCT((TEXT('Stock In'!$A$7:$A$506,"MMM YYYY")=A101)*ISNUMBER('Stock In'!$A$7:$A$506)*'Stock In'!O7:O506),0)</f>
        <v>0</v>
      </c>
      <c r="F101" s="45" t="n">
        <f aca="false">IFERROR(SUMPRODUCT((TEXT('Stock In'!$A$7:$A$506,"MMM YYYY")=A101)*ISNUMBER('Stock In'!$A$7:$A$506)*'Stock In'!R7:R506),0)</f>
        <v>0</v>
      </c>
      <c r="G101" s="45" t="n">
        <f aca="false">IFERROR(SUMPRODUCT((TEXT('Stock In'!$A$7:$A$506,"MMM YYYY")=A101)*ISNUMBER('Stock In'!$A$7:$A$506)*'Stock In'!U7:U506),0)</f>
        <v>0</v>
      </c>
      <c r="H101" s="45" t="n">
        <f aca="false">IFERROR(SUMPRODUCT((TEXT('Stock In'!$A$7:$A$506,"MMM YYYY")=A101)*ISNUMBER('Stock In'!$A$7:$A$506)*'Stock In'!X7:X506),0)</f>
        <v>0</v>
      </c>
      <c r="I101" s="45" t="n">
        <f aca="false">IFERROR(SUMPRODUCT((TEXT('Stock In'!$A$7:$A$506,"MMM YYYY")=A101)*ISNUMBER('Stock In'!$A$7:$A$506)*'Stock In'!AA7:AA506),0)</f>
        <v>0</v>
      </c>
      <c r="J101" s="45" t="n">
        <f aca="false">IFERROR(SUMPRODUCT((TEXT('Stock In'!$A$7:$A$506,"MMM YYYY")=A101)*ISNUMBER('Stock In'!$A$7:$A$506)*'Stock In'!AD7:AD506),0)</f>
        <v>0</v>
      </c>
      <c r="K101" s="45" t="n">
        <f aca="false">IFERROR(SUMPRODUCT((TEXT('Stock In'!$A$7:$A$506,"MMM YYYY")=A101)*ISNUMBER('Stock In'!$A$7:$A$506)*'Stock In'!AG7:AG506),0)</f>
        <v>0</v>
      </c>
      <c r="L101" s="45" t="n">
        <f aca="false">IFERROR(SUMPRODUCT((TEXT('Stock In'!$A$7:$A$506,"MMM YYYY")=A101)*ISNUMBER('Stock In'!$A$7:$A$506)*'Stock In'!AJ7:AJ506),0)</f>
        <v>0</v>
      </c>
      <c r="M101" s="45" t="n">
        <f aca="false">IFERROR(SUMPRODUCT((TEXT('Stock In'!$A$7:$A$506,"MMM YYYY")=A101)*ISNUMBER('Stock In'!$A$7:$A$506)*'Stock In'!AM7:AM506),0)</f>
        <v>0</v>
      </c>
      <c r="N101" s="46" t="n">
        <f aca="false">SUM(B101:M101)</f>
        <v>0</v>
      </c>
    </row>
    <row r="102" customFormat="false" ht="18" hidden="false" customHeight="true" outlineLevel="0" collapsed="false">
      <c r="A102" s="49" t="s">
        <v>67</v>
      </c>
      <c r="B102" s="42" t="n">
        <f aca="false">IFERROR(SUMPRODUCT((TEXT('Stock In'!$A$7:$A$506,"MMM YYYY")=A102)*ISNUMBER('Stock In'!$A$7:$A$506)*'Stock In'!F7:F506),0)</f>
        <v>0</v>
      </c>
      <c r="C102" s="42" t="n">
        <f aca="false">IFERROR(SUMPRODUCT((TEXT('Stock In'!$A$7:$A$506,"MMM YYYY")=A102)*ISNUMBER('Stock In'!$A$7:$A$506)*'Stock In'!I7:I506),0)</f>
        <v>0</v>
      </c>
      <c r="D102" s="42" t="n">
        <f aca="false">IFERROR(SUMPRODUCT((TEXT('Stock In'!$A$7:$A$506,"MMM YYYY")=A102)*ISNUMBER('Stock In'!$A$7:$A$506)*'Stock In'!L7:L506),0)</f>
        <v>0</v>
      </c>
      <c r="E102" s="42" t="n">
        <f aca="false">IFERROR(SUMPRODUCT((TEXT('Stock In'!$A$7:$A$506,"MMM YYYY")=A102)*ISNUMBER('Stock In'!$A$7:$A$506)*'Stock In'!O7:O506),0)</f>
        <v>0</v>
      </c>
      <c r="F102" s="42" t="n">
        <f aca="false">IFERROR(SUMPRODUCT((TEXT('Stock In'!$A$7:$A$506,"MMM YYYY")=A102)*ISNUMBER('Stock In'!$A$7:$A$506)*'Stock In'!R7:R506),0)</f>
        <v>0</v>
      </c>
      <c r="G102" s="42" t="n">
        <f aca="false">IFERROR(SUMPRODUCT((TEXT('Stock In'!$A$7:$A$506,"MMM YYYY")=A102)*ISNUMBER('Stock In'!$A$7:$A$506)*'Stock In'!U7:U506),0)</f>
        <v>0</v>
      </c>
      <c r="H102" s="42" t="n">
        <f aca="false">IFERROR(SUMPRODUCT((TEXT('Stock In'!$A$7:$A$506,"MMM YYYY")=A102)*ISNUMBER('Stock In'!$A$7:$A$506)*'Stock In'!X7:X506),0)</f>
        <v>0</v>
      </c>
      <c r="I102" s="42" t="n">
        <f aca="false">IFERROR(SUMPRODUCT((TEXT('Stock In'!$A$7:$A$506,"MMM YYYY")=A102)*ISNUMBER('Stock In'!$A$7:$A$506)*'Stock In'!AA7:AA506),0)</f>
        <v>0</v>
      </c>
      <c r="J102" s="42" t="n">
        <f aca="false">IFERROR(SUMPRODUCT((TEXT('Stock In'!$A$7:$A$506,"MMM YYYY")=A102)*ISNUMBER('Stock In'!$A$7:$A$506)*'Stock In'!AD7:AD506),0)</f>
        <v>0</v>
      </c>
      <c r="K102" s="42" t="n">
        <f aca="false">IFERROR(SUMPRODUCT((TEXT('Stock In'!$A$7:$A$506,"MMM YYYY")=A102)*ISNUMBER('Stock In'!$A$7:$A$506)*'Stock In'!AG7:AG506),0)</f>
        <v>0</v>
      </c>
      <c r="L102" s="42" t="n">
        <f aca="false">IFERROR(SUMPRODUCT((TEXT('Stock In'!$A$7:$A$506,"MMM YYYY")=A102)*ISNUMBER('Stock In'!$A$7:$A$506)*'Stock In'!AJ7:AJ506),0)</f>
        <v>0</v>
      </c>
      <c r="M102" s="42" t="n">
        <f aca="false">IFERROR(SUMPRODUCT((TEXT('Stock In'!$A$7:$A$506,"MMM YYYY")=A102)*ISNUMBER('Stock In'!$A$7:$A$506)*'Stock In'!AM7:AM506),0)</f>
        <v>0</v>
      </c>
      <c r="N102" s="43" t="n">
        <f aca="false">SUM(B102:M102)</f>
        <v>0</v>
      </c>
    </row>
    <row r="103" customFormat="false" ht="18" hidden="false" customHeight="true" outlineLevel="0" collapsed="false">
      <c r="A103" s="50" t="s">
        <v>68</v>
      </c>
      <c r="B103" s="45" t="n">
        <f aca="false">IFERROR(SUMPRODUCT((TEXT('Stock In'!$A$7:$A$506,"MMM YYYY")=A103)*ISNUMBER('Stock In'!$A$7:$A$506)*'Stock In'!F7:F506),0)</f>
        <v>0</v>
      </c>
      <c r="C103" s="45" t="n">
        <f aca="false">IFERROR(SUMPRODUCT((TEXT('Stock In'!$A$7:$A$506,"MMM YYYY")=A103)*ISNUMBER('Stock In'!$A$7:$A$506)*'Stock In'!I7:I506),0)</f>
        <v>0</v>
      </c>
      <c r="D103" s="45" t="n">
        <f aca="false">IFERROR(SUMPRODUCT((TEXT('Stock In'!$A$7:$A$506,"MMM YYYY")=A103)*ISNUMBER('Stock In'!$A$7:$A$506)*'Stock In'!L7:L506),0)</f>
        <v>0</v>
      </c>
      <c r="E103" s="45" t="n">
        <f aca="false">IFERROR(SUMPRODUCT((TEXT('Stock In'!$A$7:$A$506,"MMM YYYY")=A103)*ISNUMBER('Stock In'!$A$7:$A$506)*'Stock In'!O7:O506),0)</f>
        <v>0</v>
      </c>
      <c r="F103" s="45" t="n">
        <f aca="false">IFERROR(SUMPRODUCT((TEXT('Stock In'!$A$7:$A$506,"MMM YYYY")=A103)*ISNUMBER('Stock In'!$A$7:$A$506)*'Stock In'!R7:R506),0)</f>
        <v>0</v>
      </c>
      <c r="G103" s="45" t="n">
        <f aca="false">IFERROR(SUMPRODUCT((TEXT('Stock In'!$A$7:$A$506,"MMM YYYY")=A103)*ISNUMBER('Stock In'!$A$7:$A$506)*'Stock In'!U7:U506),0)</f>
        <v>0</v>
      </c>
      <c r="H103" s="45" t="n">
        <f aca="false">IFERROR(SUMPRODUCT((TEXT('Stock In'!$A$7:$A$506,"MMM YYYY")=A103)*ISNUMBER('Stock In'!$A$7:$A$506)*'Stock In'!X7:X506),0)</f>
        <v>0</v>
      </c>
      <c r="I103" s="45" t="n">
        <f aca="false">IFERROR(SUMPRODUCT((TEXT('Stock In'!$A$7:$A$506,"MMM YYYY")=A103)*ISNUMBER('Stock In'!$A$7:$A$506)*'Stock In'!AA7:AA506),0)</f>
        <v>0</v>
      </c>
      <c r="J103" s="45" t="n">
        <f aca="false">IFERROR(SUMPRODUCT((TEXT('Stock In'!$A$7:$A$506,"MMM YYYY")=A103)*ISNUMBER('Stock In'!$A$7:$A$506)*'Stock In'!AD7:AD506),0)</f>
        <v>0</v>
      </c>
      <c r="K103" s="45" t="n">
        <f aca="false">IFERROR(SUMPRODUCT((TEXT('Stock In'!$A$7:$A$506,"MMM YYYY")=A103)*ISNUMBER('Stock In'!$A$7:$A$506)*'Stock In'!AG7:AG506),0)</f>
        <v>0</v>
      </c>
      <c r="L103" s="45" t="n">
        <f aca="false">IFERROR(SUMPRODUCT((TEXT('Stock In'!$A$7:$A$506,"MMM YYYY")=A103)*ISNUMBER('Stock In'!$A$7:$A$506)*'Stock In'!AJ7:AJ506),0)</f>
        <v>0</v>
      </c>
      <c r="M103" s="45" t="n">
        <f aca="false">IFERROR(SUMPRODUCT((TEXT('Stock In'!$A$7:$A$506,"MMM YYYY")=A103)*ISNUMBER('Stock In'!$A$7:$A$506)*'Stock In'!AM7:AM506),0)</f>
        <v>0</v>
      </c>
      <c r="N103" s="46" t="n">
        <f aca="false">SUM(B103:M103)</f>
        <v>0</v>
      </c>
    </row>
    <row r="104" customFormat="false" ht="18" hidden="false" customHeight="true" outlineLevel="0" collapsed="false">
      <c r="A104" s="49" t="s">
        <v>69</v>
      </c>
      <c r="B104" s="42" t="n">
        <f aca="false">IFERROR(SUMPRODUCT((TEXT('Stock In'!$A$7:$A$506,"MMM YYYY")=A104)*ISNUMBER('Stock In'!$A$7:$A$506)*'Stock In'!F7:F506),0)</f>
        <v>0</v>
      </c>
      <c r="C104" s="42" t="n">
        <f aca="false">IFERROR(SUMPRODUCT((TEXT('Stock In'!$A$7:$A$506,"MMM YYYY")=A104)*ISNUMBER('Stock In'!$A$7:$A$506)*'Stock In'!I7:I506),0)</f>
        <v>0</v>
      </c>
      <c r="D104" s="42" t="n">
        <f aca="false">IFERROR(SUMPRODUCT((TEXT('Stock In'!$A$7:$A$506,"MMM YYYY")=A104)*ISNUMBER('Stock In'!$A$7:$A$506)*'Stock In'!L7:L506),0)</f>
        <v>0</v>
      </c>
      <c r="E104" s="42" t="n">
        <f aca="false">IFERROR(SUMPRODUCT((TEXT('Stock In'!$A$7:$A$506,"MMM YYYY")=A104)*ISNUMBER('Stock In'!$A$7:$A$506)*'Stock In'!O7:O506),0)</f>
        <v>0</v>
      </c>
      <c r="F104" s="42" t="n">
        <f aca="false">IFERROR(SUMPRODUCT((TEXT('Stock In'!$A$7:$A$506,"MMM YYYY")=A104)*ISNUMBER('Stock In'!$A$7:$A$506)*'Stock In'!R7:R506),0)</f>
        <v>0</v>
      </c>
      <c r="G104" s="42" t="n">
        <f aca="false">IFERROR(SUMPRODUCT((TEXT('Stock In'!$A$7:$A$506,"MMM YYYY")=A104)*ISNUMBER('Stock In'!$A$7:$A$506)*'Stock In'!U7:U506),0)</f>
        <v>0</v>
      </c>
      <c r="H104" s="42" t="n">
        <f aca="false">IFERROR(SUMPRODUCT((TEXT('Stock In'!$A$7:$A$506,"MMM YYYY")=A104)*ISNUMBER('Stock In'!$A$7:$A$506)*'Stock In'!X7:X506),0)</f>
        <v>0</v>
      </c>
      <c r="I104" s="42" t="n">
        <f aca="false">IFERROR(SUMPRODUCT((TEXT('Stock In'!$A$7:$A$506,"MMM YYYY")=A104)*ISNUMBER('Stock In'!$A$7:$A$506)*'Stock In'!AA7:AA506),0)</f>
        <v>0</v>
      </c>
      <c r="J104" s="42" t="n">
        <f aca="false">IFERROR(SUMPRODUCT((TEXT('Stock In'!$A$7:$A$506,"MMM YYYY")=A104)*ISNUMBER('Stock In'!$A$7:$A$506)*'Stock In'!AD7:AD506),0)</f>
        <v>0</v>
      </c>
      <c r="K104" s="42" t="n">
        <f aca="false">IFERROR(SUMPRODUCT((TEXT('Stock In'!$A$7:$A$506,"MMM YYYY")=A104)*ISNUMBER('Stock In'!$A$7:$A$506)*'Stock In'!AG7:AG506),0)</f>
        <v>0</v>
      </c>
      <c r="L104" s="42" t="n">
        <f aca="false">IFERROR(SUMPRODUCT((TEXT('Stock In'!$A$7:$A$506,"MMM YYYY")=A104)*ISNUMBER('Stock In'!$A$7:$A$506)*'Stock In'!AJ7:AJ506),0)</f>
        <v>0</v>
      </c>
      <c r="M104" s="42" t="n">
        <f aca="false">IFERROR(SUMPRODUCT((TEXT('Stock In'!$A$7:$A$506,"MMM YYYY")=A104)*ISNUMBER('Stock In'!$A$7:$A$506)*'Stock In'!AM7:AM506),0)</f>
        <v>0</v>
      </c>
      <c r="N104" s="43" t="n">
        <f aca="false">SUM(B104:M104)</f>
        <v>0</v>
      </c>
    </row>
    <row r="105" customFormat="false" ht="18" hidden="false" customHeight="true" outlineLevel="0" collapsed="false">
      <c r="A105" s="50" t="s">
        <v>70</v>
      </c>
      <c r="B105" s="45" t="n">
        <f aca="false">IFERROR(SUMPRODUCT((TEXT('Stock In'!$A$7:$A$506,"MMM YYYY")=A105)*ISNUMBER('Stock In'!$A$7:$A$506)*'Stock In'!F7:F506),0)</f>
        <v>0</v>
      </c>
      <c r="C105" s="45" t="n">
        <f aca="false">IFERROR(SUMPRODUCT((TEXT('Stock In'!$A$7:$A$506,"MMM YYYY")=A105)*ISNUMBER('Stock In'!$A$7:$A$506)*'Stock In'!I7:I506),0)</f>
        <v>0</v>
      </c>
      <c r="D105" s="45" t="n">
        <f aca="false">IFERROR(SUMPRODUCT((TEXT('Stock In'!$A$7:$A$506,"MMM YYYY")=A105)*ISNUMBER('Stock In'!$A$7:$A$506)*'Stock In'!L7:L506),0)</f>
        <v>0</v>
      </c>
      <c r="E105" s="45" t="n">
        <f aca="false">IFERROR(SUMPRODUCT((TEXT('Stock In'!$A$7:$A$506,"MMM YYYY")=A105)*ISNUMBER('Stock In'!$A$7:$A$506)*'Stock In'!O7:O506),0)</f>
        <v>0</v>
      </c>
      <c r="F105" s="45" t="n">
        <f aca="false">IFERROR(SUMPRODUCT((TEXT('Stock In'!$A$7:$A$506,"MMM YYYY")=A105)*ISNUMBER('Stock In'!$A$7:$A$506)*'Stock In'!R7:R506),0)</f>
        <v>0</v>
      </c>
      <c r="G105" s="45" t="n">
        <f aca="false">IFERROR(SUMPRODUCT((TEXT('Stock In'!$A$7:$A$506,"MMM YYYY")=A105)*ISNUMBER('Stock In'!$A$7:$A$506)*'Stock In'!U7:U506),0)</f>
        <v>0</v>
      </c>
      <c r="H105" s="45" t="n">
        <f aca="false">IFERROR(SUMPRODUCT((TEXT('Stock In'!$A$7:$A$506,"MMM YYYY")=A105)*ISNUMBER('Stock In'!$A$7:$A$506)*'Stock In'!X7:X506),0)</f>
        <v>0</v>
      </c>
      <c r="I105" s="45" t="n">
        <f aca="false">IFERROR(SUMPRODUCT((TEXT('Stock In'!$A$7:$A$506,"MMM YYYY")=A105)*ISNUMBER('Stock In'!$A$7:$A$506)*'Stock In'!AA7:AA506),0)</f>
        <v>0</v>
      </c>
      <c r="J105" s="45" t="n">
        <f aca="false">IFERROR(SUMPRODUCT((TEXT('Stock In'!$A$7:$A$506,"MMM YYYY")=A105)*ISNUMBER('Stock In'!$A$7:$A$506)*'Stock In'!AD7:AD506),0)</f>
        <v>0</v>
      </c>
      <c r="K105" s="45" t="n">
        <f aca="false">IFERROR(SUMPRODUCT((TEXT('Stock In'!$A$7:$A$506,"MMM YYYY")=A105)*ISNUMBER('Stock In'!$A$7:$A$506)*'Stock In'!AG7:AG506),0)</f>
        <v>0</v>
      </c>
      <c r="L105" s="45" t="n">
        <f aca="false">IFERROR(SUMPRODUCT((TEXT('Stock In'!$A$7:$A$506,"MMM YYYY")=A105)*ISNUMBER('Stock In'!$A$7:$A$506)*'Stock In'!AJ7:AJ506),0)</f>
        <v>0</v>
      </c>
      <c r="M105" s="45" t="n">
        <f aca="false">IFERROR(SUMPRODUCT((TEXT('Stock In'!$A$7:$A$506,"MMM YYYY")=A105)*ISNUMBER('Stock In'!$A$7:$A$506)*'Stock In'!AM7:AM506),0)</f>
        <v>0</v>
      </c>
      <c r="N105" s="46" t="n">
        <f aca="false">SUM(B105:M105)</f>
        <v>0</v>
      </c>
    </row>
    <row r="106" customFormat="false" ht="18" hidden="false" customHeight="true" outlineLevel="0" collapsed="false">
      <c r="A106" s="49" t="s">
        <v>71</v>
      </c>
      <c r="B106" s="42" t="n">
        <f aca="false">IFERROR(SUMPRODUCT((TEXT('Stock In'!$A$7:$A$506,"MMM YYYY")=A106)*ISNUMBER('Stock In'!$A$7:$A$506)*'Stock In'!F7:F506),0)</f>
        <v>0</v>
      </c>
      <c r="C106" s="42" t="n">
        <f aca="false">IFERROR(SUMPRODUCT((TEXT('Stock In'!$A$7:$A$506,"MMM YYYY")=A106)*ISNUMBER('Stock In'!$A$7:$A$506)*'Stock In'!I7:I506),0)</f>
        <v>0</v>
      </c>
      <c r="D106" s="42" t="n">
        <f aca="false">IFERROR(SUMPRODUCT((TEXT('Stock In'!$A$7:$A$506,"MMM YYYY")=A106)*ISNUMBER('Stock In'!$A$7:$A$506)*'Stock In'!L7:L506),0)</f>
        <v>0</v>
      </c>
      <c r="E106" s="42" t="n">
        <f aca="false">IFERROR(SUMPRODUCT((TEXT('Stock In'!$A$7:$A$506,"MMM YYYY")=A106)*ISNUMBER('Stock In'!$A$7:$A$506)*'Stock In'!O7:O506),0)</f>
        <v>0</v>
      </c>
      <c r="F106" s="42" t="n">
        <f aca="false">IFERROR(SUMPRODUCT((TEXT('Stock In'!$A$7:$A$506,"MMM YYYY")=A106)*ISNUMBER('Stock In'!$A$7:$A$506)*'Stock In'!R7:R506),0)</f>
        <v>0</v>
      </c>
      <c r="G106" s="42" t="n">
        <f aca="false">IFERROR(SUMPRODUCT((TEXT('Stock In'!$A$7:$A$506,"MMM YYYY")=A106)*ISNUMBER('Stock In'!$A$7:$A$506)*'Stock In'!U7:U506),0)</f>
        <v>0</v>
      </c>
      <c r="H106" s="42" t="n">
        <f aca="false">IFERROR(SUMPRODUCT((TEXT('Stock In'!$A$7:$A$506,"MMM YYYY")=A106)*ISNUMBER('Stock In'!$A$7:$A$506)*'Stock In'!X7:X506),0)</f>
        <v>0</v>
      </c>
      <c r="I106" s="42" t="n">
        <f aca="false">IFERROR(SUMPRODUCT((TEXT('Stock In'!$A$7:$A$506,"MMM YYYY")=A106)*ISNUMBER('Stock In'!$A$7:$A$506)*'Stock In'!AA7:AA506),0)</f>
        <v>0</v>
      </c>
      <c r="J106" s="42" t="n">
        <f aca="false">IFERROR(SUMPRODUCT((TEXT('Stock In'!$A$7:$A$506,"MMM YYYY")=A106)*ISNUMBER('Stock In'!$A$7:$A$506)*'Stock In'!AD7:AD506),0)</f>
        <v>0</v>
      </c>
      <c r="K106" s="42" t="n">
        <f aca="false">IFERROR(SUMPRODUCT((TEXT('Stock In'!$A$7:$A$506,"MMM YYYY")=A106)*ISNUMBER('Stock In'!$A$7:$A$506)*'Stock In'!AG7:AG506),0)</f>
        <v>0</v>
      </c>
      <c r="L106" s="42" t="n">
        <f aca="false">IFERROR(SUMPRODUCT((TEXT('Stock In'!$A$7:$A$506,"MMM YYYY")=A106)*ISNUMBER('Stock In'!$A$7:$A$506)*'Stock In'!AJ7:AJ506),0)</f>
        <v>0</v>
      </c>
      <c r="M106" s="42" t="n">
        <f aca="false">IFERROR(SUMPRODUCT((TEXT('Stock In'!$A$7:$A$506,"MMM YYYY")=A106)*ISNUMBER('Stock In'!$A$7:$A$506)*'Stock In'!AM7:AM506),0)</f>
        <v>0</v>
      </c>
      <c r="N106" s="43" t="n">
        <f aca="false">SUM(B106:M106)</f>
        <v>0</v>
      </c>
    </row>
    <row r="107" customFormat="false" ht="18" hidden="false" customHeight="true" outlineLevel="0" collapsed="false">
      <c r="A107" s="50" t="s">
        <v>72</v>
      </c>
      <c r="B107" s="45" t="n">
        <f aca="false">IFERROR(SUMPRODUCT((TEXT('Stock In'!$A$7:$A$506,"MMM YYYY")=A107)*ISNUMBER('Stock In'!$A$7:$A$506)*'Stock In'!F7:F506),0)</f>
        <v>0</v>
      </c>
      <c r="C107" s="45" t="n">
        <f aca="false">IFERROR(SUMPRODUCT((TEXT('Stock In'!$A$7:$A$506,"MMM YYYY")=A107)*ISNUMBER('Stock In'!$A$7:$A$506)*'Stock In'!I7:I506),0)</f>
        <v>0</v>
      </c>
      <c r="D107" s="45" t="n">
        <f aca="false">IFERROR(SUMPRODUCT((TEXT('Stock In'!$A$7:$A$506,"MMM YYYY")=A107)*ISNUMBER('Stock In'!$A$7:$A$506)*'Stock In'!L7:L506),0)</f>
        <v>0</v>
      </c>
      <c r="E107" s="45" t="n">
        <f aca="false">IFERROR(SUMPRODUCT((TEXT('Stock In'!$A$7:$A$506,"MMM YYYY")=A107)*ISNUMBER('Stock In'!$A$7:$A$506)*'Stock In'!O7:O506),0)</f>
        <v>0</v>
      </c>
      <c r="F107" s="45" t="n">
        <f aca="false">IFERROR(SUMPRODUCT((TEXT('Stock In'!$A$7:$A$506,"MMM YYYY")=A107)*ISNUMBER('Stock In'!$A$7:$A$506)*'Stock In'!R7:R506),0)</f>
        <v>0</v>
      </c>
      <c r="G107" s="45" t="n">
        <f aca="false">IFERROR(SUMPRODUCT((TEXT('Stock In'!$A$7:$A$506,"MMM YYYY")=A107)*ISNUMBER('Stock In'!$A$7:$A$506)*'Stock In'!U7:U506),0)</f>
        <v>0</v>
      </c>
      <c r="H107" s="45" t="n">
        <f aca="false">IFERROR(SUMPRODUCT((TEXT('Stock In'!$A$7:$A$506,"MMM YYYY")=A107)*ISNUMBER('Stock In'!$A$7:$A$506)*'Stock In'!X7:X506),0)</f>
        <v>0</v>
      </c>
      <c r="I107" s="45" t="n">
        <f aca="false">IFERROR(SUMPRODUCT((TEXT('Stock In'!$A$7:$A$506,"MMM YYYY")=A107)*ISNUMBER('Stock In'!$A$7:$A$506)*'Stock In'!AA7:AA506),0)</f>
        <v>0</v>
      </c>
      <c r="J107" s="45" t="n">
        <f aca="false">IFERROR(SUMPRODUCT((TEXT('Stock In'!$A$7:$A$506,"MMM YYYY")=A107)*ISNUMBER('Stock In'!$A$7:$A$506)*'Stock In'!AD7:AD506),0)</f>
        <v>0</v>
      </c>
      <c r="K107" s="45" t="n">
        <f aca="false">IFERROR(SUMPRODUCT((TEXT('Stock In'!$A$7:$A$506,"MMM YYYY")=A107)*ISNUMBER('Stock In'!$A$7:$A$506)*'Stock In'!AG7:AG506),0)</f>
        <v>0</v>
      </c>
      <c r="L107" s="45" t="n">
        <f aca="false">IFERROR(SUMPRODUCT((TEXT('Stock In'!$A$7:$A$506,"MMM YYYY")=A107)*ISNUMBER('Stock In'!$A$7:$A$506)*'Stock In'!AJ7:AJ506),0)</f>
        <v>0</v>
      </c>
      <c r="M107" s="45" t="n">
        <f aca="false">IFERROR(SUMPRODUCT((TEXT('Stock In'!$A$7:$A$506,"MMM YYYY")=A107)*ISNUMBER('Stock In'!$A$7:$A$506)*'Stock In'!AM7:AM506),0)</f>
        <v>0</v>
      </c>
      <c r="N107" s="46" t="n">
        <f aca="false">SUM(B107:M107)</f>
        <v>0</v>
      </c>
    </row>
    <row r="108" customFormat="false" ht="18" hidden="false" customHeight="true" outlineLevel="0" collapsed="false">
      <c r="A108" s="49" t="s">
        <v>73</v>
      </c>
      <c r="B108" s="42" t="n">
        <f aca="false">IFERROR(SUMPRODUCT((TEXT('Stock In'!$A$7:$A$506,"MMM YYYY")=A108)*ISNUMBER('Stock In'!$A$7:$A$506)*'Stock In'!F7:F506),0)</f>
        <v>0</v>
      </c>
      <c r="C108" s="42" t="n">
        <f aca="false">IFERROR(SUMPRODUCT((TEXT('Stock In'!$A$7:$A$506,"MMM YYYY")=A108)*ISNUMBER('Stock In'!$A$7:$A$506)*'Stock In'!I7:I506),0)</f>
        <v>0</v>
      </c>
      <c r="D108" s="42" t="n">
        <f aca="false">IFERROR(SUMPRODUCT((TEXT('Stock In'!$A$7:$A$506,"MMM YYYY")=A108)*ISNUMBER('Stock In'!$A$7:$A$506)*'Stock In'!L7:L506),0)</f>
        <v>0</v>
      </c>
      <c r="E108" s="42" t="n">
        <f aca="false">IFERROR(SUMPRODUCT((TEXT('Stock In'!$A$7:$A$506,"MMM YYYY")=A108)*ISNUMBER('Stock In'!$A$7:$A$506)*'Stock In'!O7:O506),0)</f>
        <v>0</v>
      </c>
      <c r="F108" s="42" t="n">
        <f aca="false">IFERROR(SUMPRODUCT((TEXT('Stock In'!$A$7:$A$506,"MMM YYYY")=A108)*ISNUMBER('Stock In'!$A$7:$A$506)*'Stock In'!R7:R506),0)</f>
        <v>0</v>
      </c>
      <c r="G108" s="42" t="n">
        <f aca="false">IFERROR(SUMPRODUCT((TEXT('Stock In'!$A$7:$A$506,"MMM YYYY")=A108)*ISNUMBER('Stock In'!$A$7:$A$506)*'Stock In'!U7:U506),0)</f>
        <v>0</v>
      </c>
      <c r="H108" s="42" t="n">
        <f aca="false">IFERROR(SUMPRODUCT((TEXT('Stock In'!$A$7:$A$506,"MMM YYYY")=A108)*ISNUMBER('Stock In'!$A$7:$A$506)*'Stock In'!X7:X506),0)</f>
        <v>0</v>
      </c>
      <c r="I108" s="42" t="n">
        <f aca="false">IFERROR(SUMPRODUCT((TEXT('Stock In'!$A$7:$A$506,"MMM YYYY")=A108)*ISNUMBER('Stock In'!$A$7:$A$506)*'Stock In'!AA7:AA506),0)</f>
        <v>0</v>
      </c>
      <c r="J108" s="42" t="n">
        <f aca="false">IFERROR(SUMPRODUCT((TEXT('Stock In'!$A$7:$A$506,"MMM YYYY")=A108)*ISNUMBER('Stock In'!$A$7:$A$506)*'Stock In'!AD7:AD506),0)</f>
        <v>0</v>
      </c>
      <c r="K108" s="42" t="n">
        <f aca="false">IFERROR(SUMPRODUCT((TEXT('Stock In'!$A$7:$A$506,"MMM YYYY")=A108)*ISNUMBER('Stock In'!$A$7:$A$506)*'Stock In'!AG7:AG506),0)</f>
        <v>0</v>
      </c>
      <c r="L108" s="42" t="n">
        <f aca="false">IFERROR(SUMPRODUCT((TEXT('Stock In'!$A$7:$A$506,"MMM YYYY")=A108)*ISNUMBER('Stock In'!$A$7:$A$506)*'Stock In'!AJ7:AJ506),0)</f>
        <v>0</v>
      </c>
      <c r="M108" s="42" t="n">
        <f aca="false">IFERROR(SUMPRODUCT((TEXT('Stock In'!$A$7:$A$506,"MMM YYYY")=A108)*ISNUMBER('Stock In'!$A$7:$A$506)*'Stock In'!AM7:AM506),0)</f>
        <v>0</v>
      </c>
      <c r="N108" s="43" t="n">
        <f aca="false">SUM(B108:M108)</f>
        <v>0</v>
      </c>
    </row>
    <row r="109" customFormat="false" ht="18" hidden="false" customHeight="true" outlineLevel="0" collapsed="false">
      <c r="A109" s="50" t="s">
        <v>74</v>
      </c>
      <c r="B109" s="45" t="n">
        <f aca="false">IFERROR(SUMPRODUCT((TEXT('Stock In'!$A$7:$A$506,"MMM YYYY")=A109)*ISNUMBER('Stock In'!$A$7:$A$506)*'Stock In'!F7:F506),0)</f>
        <v>0</v>
      </c>
      <c r="C109" s="45" t="n">
        <f aca="false">IFERROR(SUMPRODUCT((TEXT('Stock In'!$A$7:$A$506,"MMM YYYY")=A109)*ISNUMBER('Stock In'!$A$7:$A$506)*'Stock In'!I7:I506),0)</f>
        <v>0</v>
      </c>
      <c r="D109" s="45" t="n">
        <f aca="false">IFERROR(SUMPRODUCT((TEXT('Stock In'!$A$7:$A$506,"MMM YYYY")=A109)*ISNUMBER('Stock In'!$A$7:$A$506)*'Stock In'!L7:L506),0)</f>
        <v>0</v>
      </c>
      <c r="E109" s="45" t="n">
        <f aca="false">IFERROR(SUMPRODUCT((TEXT('Stock In'!$A$7:$A$506,"MMM YYYY")=A109)*ISNUMBER('Stock In'!$A$7:$A$506)*'Stock In'!O7:O506),0)</f>
        <v>0</v>
      </c>
      <c r="F109" s="45" t="n">
        <f aca="false">IFERROR(SUMPRODUCT((TEXT('Stock In'!$A$7:$A$506,"MMM YYYY")=A109)*ISNUMBER('Stock In'!$A$7:$A$506)*'Stock In'!R7:R506),0)</f>
        <v>0</v>
      </c>
      <c r="G109" s="45" t="n">
        <f aca="false">IFERROR(SUMPRODUCT((TEXT('Stock In'!$A$7:$A$506,"MMM YYYY")=A109)*ISNUMBER('Stock In'!$A$7:$A$506)*'Stock In'!U7:U506),0)</f>
        <v>0</v>
      </c>
      <c r="H109" s="45" t="n">
        <f aca="false">IFERROR(SUMPRODUCT((TEXT('Stock In'!$A$7:$A$506,"MMM YYYY")=A109)*ISNUMBER('Stock In'!$A$7:$A$506)*'Stock In'!X7:X506),0)</f>
        <v>0</v>
      </c>
      <c r="I109" s="45" t="n">
        <f aca="false">IFERROR(SUMPRODUCT((TEXT('Stock In'!$A$7:$A$506,"MMM YYYY")=A109)*ISNUMBER('Stock In'!$A$7:$A$506)*'Stock In'!AA7:AA506),0)</f>
        <v>0</v>
      </c>
      <c r="J109" s="45" t="n">
        <f aca="false">IFERROR(SUMPRODUCT((TEXT('Stock In'!$A$7:$A$506,"MMM YYYY")=A109)*ISNUMBER('Stock In'!$A$7:$A$506)*'Stock In'!AD7:AD506),0)</f>
        <v>0</v>
      </c>
      <c r="K109" s="45" t="n">
        <f aca="false">IFERROR(SUMPRODUCT((TEXT('Stock In'!$A$7:$A$506,"MMM YYYY")=A109)*ISNUMBER('Stock In'!$A$7:$A$506)*'Stock In'!AG7:AG506),0)</f>
        <v>0</v>
      </c>
      <c r="L109" s="45" t="n">
        <f aca="false">IFERROR(SUMPRODUCT((TEXT('Stock In'!$A$7:$A$506,"MMM YYYY")=A109)*ISNUMBER('Stock In'!$A$7:$A$506)*'Stock In'!AJ7:AJ506),0)</f>
        <v>0</v>
      </c>
      <c r="M109" s="45" t="n">
        <f aca="false">IFERROR(SUMPRODUCT((TEXT('Stock In'!$A$7:$A$506,"MMM YYYY")=A109)*ISNUMBER('Stock In'!$A$7:$A$506)*'Stock In'!AM7:AM506),0)</f>
        <v>0</v>
      </c>
      <c r="N109" s="46" t="n">
        <f aca="false">SUM(B109:M109)</f>
        <v>0</v>
      </c>
    </row>
    <row r="110" customFormat="false" ht="18" hidden="false" customHeight="true" outlineLevel="0" collapsed="false">
      <c r="A110" s="49" t="s">
        <v>75</v>
      </c>
      <c r="B110" s="42" t="n">
        <f aca="false">IFERROR(SUMPRODUCT((TEXT('Stock In'!$A$7:$A$506,"MMM YYYY")=A110)*ISNUMBER('Stock In'!$A$7:$A$506)*'Stock In'!F7:F506),0)</f>
        <v>0</v>
      </c>
      <c r="C110" s="42" t="n">
        <f aca="false">IFERROR(SUMPRODUCT((TEXT('Stock In'!$A$7:$A$506,"MMM YYYY")=A110)*ISNUMBER('Stock In'!$A$7:$A$506)*'Stock In'!I7:I506),0)</f>
        <v>0</v>
      </c>
      <c r="D110" s="42" t="n">
        <f aca="false">IFERROR(SUMPRODUCT((TEXT('Stock In'!$A$7:$A$506,"MMM YYYY")=A110)*ISNUMBER('Stock In'!$A$7:$A$506)*'Stock In'!L7:L506),0)</f>
        <v>0</v>
      </c>
      <c r="E110" s="42" t="n">
        <f aca="false">IFERROR(SUMPRODUCT((TEXT('Stock In'!$A$7:$A$506,"MMM YYYY")=A110)*ISNUMBER('Stock In'!$A$7:$A$506)*'Stock In'!O7:O506),0)</f>
        <v>0</v>
      </c>
      <c r="F110" s="42" t="n">
        <f aca="false">IFERROR(SUMPRODUCT((TEXT('Stock In'!$A$7:$A$506,"MMM YYYY")=A110)*ISNUMBER('Stock In'!$A$7:$A$506)*'Stock In'!R7:R506),0)</f>
        <v>0</v>
      </c>
      <c r="G110" s="42" t="n">
        <f aca="false">IFERROR(SUMPRODUCT((TEXT('Stock In'!$A$7:$A$506,"MMM YYYY")=A110)*ISNUMBER('Stock In'!$A$7:$A$506)*'Stock In'!U7:U506),0)</f>
        <v>0</v>
      </c>
      <c r="H110" s="42" t="n">
        <f aca="false">IFERROR(SUMPRODUCT((TEXT('Stock In'!$A$7:$A$506,"MMM YYYY")=A110)*ISNUMBER('Stock In'!$A$7:$A$506)*'Stock In'!X7:X506),0)</f>
        <v>0</v>
      </c>
      <c r="I110" s="42" t="n">
        <f aca="false">IFERROR(SUMPRODUCT((TEXT('Stock In'!$A$7:$A$506,"MMM YYYY")=A110)*ISNUMBER('Stock In'!$A$7:$A$506)*'Stock In'!AA7:AA506),0)</f>
        <v>0</v>
      </c>
      <c r="J110" s="42" t="n">
        <f aca="false">IFERROR(SUMPRODUCT((TEXT('Stock In'!$A$7:$A$506,"MMM YYYY")=A110)*ISNUMBER('Stock In'!$A$7:$A$506)*'Stock In'!AD7:AD506),0)</f>
        <v>0</v>
      </c>
      <c r="K110" s="42" t="n">
        <f aca="false">IFERROR(SUMPRODUCT((TEXT('Stock In'!$A$7:$A$506,"MMM YYYY")=A110)*ISNUMBER('Stock In'!$A$7:$A$506)*'Stock In'!AG7:AG506),0)</f>
        <v>0</v>
      </c>
      <c r="L110" s="42" t="n">
        <f aca="false">IFERROR(SUMPRODUCT((TEXT('Stock In'!$A$7:$A$506,"MMM YYYY")=A110)*ISNUMBER('Stock In'!$A$7:$A$506)*'Stock In'!AJ7:AJ506),0)</f>
        <v>0</v>
      </c>
      <c r="M110" s="42" t="n">
        <f aca="false">IFERROR(SUMPRODUCT((TEXT('Stock In'!$A$7:$A$506,"MMM YYYY")=A110)*ISNUMBER('Stock In'!$A$7:$A$506)*'Stock In'!AM7:AM506),0)</f>
        <v>0</v>
      </c>
      <c r="N110" s="43" t="n">
        <f aca="false">SUM(B110:M110)</f>
        <v>0</v>
      </c>
    </row>
    <row r="111" customFormat="false" ht="18" hidden="false" customHeight="true" outlineLevel="0" collapsed="false">
      <c r="A111" s="50" t="s">
        <v>76</v>
      </c>
      <c r="B111" s="45" t="n">
        <f aca="false">IFERROR(SUMPRODUCT((TEXT('Stock In'!$A$7:$A$506,"MMM YYYY")=A111)*ISNUMBER('Stock In'!$A$7:$A$506)*'Stock In'!F7:F506),0)</f>
        <v>0</v>
      </c>
      <c r="C111" s="45" t="n">
        <f aca="false">IFERROR(SUMPRODUCT((TEXT('Stock In'!$A$7:$A$506,"MMM YYYY")=A111)*ISNUMBER('Stock In'!$A$7:$A$506)*'Stock In'!I7:I506),0)</f>
        <v>0</v>
      </c>
      <c r="D111" s="45" t="n">
        <f aca="false">IFERROR(SUMPRODUCT((TEXT('Stock In'!$A$7:$A$506,"MMM YYYY")=A111)*ISNUMBER('Stock In'!$A$7:$A$506)*'Stock In'!L7:L506),0)</f>
        <v>0</v>
      </c>
      <c r="E111" s="45" t="n">
        <f aca="false">IFERROR(SUMPRODUCT((TEXT('Stock In'!$A$7:$A$506,"MMM YYYY")=A111)*ISNUMBER('Stock In'!$A$7:$A$506)*'Stock In'!O7:O506),0)</f>
        <v>0</v>
      </c>
      <c r="F111" s="45" t="n">
        <f aca="false">IFERROR(SUMPRODUCT((TEXT('Stock In'!$A$7:$A$506,"MMM YYYY")=A111)*ISNUMBER('Stock In'!$A$7:$A$506)*'Stock In'!R7:R506),0)</f>
        <v>0</v>
      </c>
      <c r="G111" s="45" t="n">
        <f aca="false">IFERROR(SUMPRODUCT((TEXT('Stock In'!$A$7:$A$506,"MMM YYYY")=A111)*ISNUMBER('Stock In'!$A$7:$A$506)*'Stock In'!U7:U506),0)</f>
        <v>0</v>
      </c>
      <c r="H111" s="45" t="n">
        <f aca="false">IFERROR(SUMPRODUCT((TEXT('Stock In'!$A$7:$A$506,"MMM YYYY")=A111)*ISNUMBER('Stock In'!$A$7:$A$506)*'Stock In'!X7:X506),0)</f>
        <v>0</v>
      </c>
      <c r="I111" s="45" t="n">
        <f aca="false">IFERROR(SUMPRODUCT((TEXT('Stock In'!$A$7:$A$506,"MMM YYYY")=A111)*ISNUMBER('Stock In'!$A$7:$A$506)*'Stock In'!AA7:AA506),0)</f>
        <v>0</v>
      </c>
      <c r="J111" s="45" t="n">
        <f aca="false">IFERROR(SUMPRODUCT((TEXT('Stock In'!$A$7:$A$506,"MMM YYYY")=A111)*ISNUMBER('Stock In'!$A$7:$A$506)*'Stock In'!AD7:AD506),0)</f>
        <v>0</v>
      </c>
      <c r="K111" s="45" t="n">
        <f aca="false">IFERROR(SUMPRODUCT((TEXT('Stock In'!$A$7:$A$506,"MMM YYYY")=A111)*ISNUMBER('Stock In'!$A$7:$A$506)*'Stock In'!AG7:AG506),0)</f>
        <v>0</v>
      </c>
      <c r="L111" s="45" t="n">
        <f aca="false">IFERROR(SUMPRODUCT((TEXT('Stock In'!$A$7:$A$506,"MMM YYYY")=A111)*ISNUMBER('Stock In'!$A$7:$A$506)*'Stock In'!AJ7:AJ506),0)</f>
        <v>0</v>
      </c>
      <c r="M111" s="45" t="n">
        <f aca="false">IFERROR(SUMPRODUCT((TEXT('Stock In'!$A$7:$A$506,"MMM YYYY")=A111)*ISNUMBER('Stock In'!$A$7:$A$506)*'Stock In'!AM7:AM506),0)</f>
        <v>0</v>
      </c>
      <c r="N111" s="46" t="n">
        <f aca="false">SUM(B111:M111)</f>
        <v>0</v>
      </c>
    </row>
    <row r="112" customFormat="false" ht="18" hidden="false" customHeight="true" outlineLevel="0" collapsed="false">
      <c r="A112" s="49" t="s">
        <v>77</v>
      </c>
      <c r="B112" s="42" t="n">
        <f aca="false">IFERROR(SUMPRODUCT((TEXT('Stock In'!$A$7:$A$506,"MMM YYYY")=A112)*ISNUMBER('Stock In'!$A$7:$A$506)*'Stock In'!F7:F506),0)</f>
        <v>0</v>
      </c>
      <c r="C112" s="42" t="n">
        <f aca="false">IFERROR(SUMPRODUCT((TEXT('Stock In'!$A$7:$A$506,"MMM YYYY")=A112)*ISNUMBER('Stock In'!$A$7:$A$506)*'Stock In'!I7:I506),0)</f>
        <v>0</v>
      </c>
      <c r="D112" s="42" t="n">
        <f aca="false">IFERROR(SUMPRODUCT((TEXT('Stock In'!$A$7:$A$506,"MMM YYYY")=A112)*ISNUMBER('Stock In'!$A$7:$A$506)*'Stock In'!L7:L506),0)</f>
        <v>0</v>
      </c>
      <c r="E112" s="42" t="n">
        <f aca="false">IFERROR(SUMPRODUCT((TEXT('Stock In'!$A$7:$A$506,"MMM YYYY")=A112)*ISNUMBER('Stock In'!$A$7:$A$506)*'Stock In'!O7:O506),0)</f>
        <v>0</v>
      </c>
      <c r="F112" s="42" t="n">
        <f aca="false">IFERROR(SUMPRODUCT((TEXT('Stock In'!$A$7:$A$506,"MMM YYYY")=A112)*ISNUMBER('Stock In'!$A$7:$A$506)*'Stock In'!R7:R506),0)</f>
        <v>0</v>
      </c>
      <c r="G112" s="42" t="n">
        <f aca="false">IFERROR(SUMPRODUCT((TEXT('Stock In'!$A$7:$A$506,"MMM YYYY")=A112)*ISNUMBER('Stock In'!$A$7:$A$506)*'Stock In'!U7:U506),0)</f>
        <v>0</v>
      </c>
      <c r="H112" s="42" t="n">
        <f aca="false">IFERROR(SUMPRODUCT((TEXT('Stock In'!$A$7:$A$506,"MMM YYYY")=A112)*ISNUMBER('Stock In'!$A$7:$A$506)*'Stock In'!X7:X506),0)</f>
        <v>0</v>
      </c>
      <c r="I112" s="42" t="n">
        <f aca="false">IFERROR(SUMPRODUCT((TEXT('Stock In'!$A$7:$A$506,"MMM YYYY")=A112)*ISNUMBER('Stock In'!$A$7:$A$506)*'Stock In'!AA7:AA506),0)</f>
        <v>0</v>
      </c>
      <c r="J112" s="42" t="n">
        <f aca="false">IFERROR(SUMPRODUCT((TEXT('Stock In'!$A$7:$A$506,"MMM YYYY")=A112)*ISNUMBER('Stock In'!$A$7:$A$506)*'Stock In'!AD7:AD506),0)</f>
        <v>0</v>
      </c>
      <c r="K112" s="42" t="n">
        <f aca="false">IFERROR(SUMPRODUCT((TEXT('Stock In'!$A$7:$A$506,"MMM YYYY")=A112)*ISNUMBER('Stock In'!$A$7:$A$506)*'Stock In'!AG7:AG506),0)</f>
        <v>0</v>
      </c>
      <c r="L112" s="42" t="n">
        <f aca="false">IFERROR(SUMPRODUCT((TEXT('Stock In'!$A$7:$A$506,"MMM YYYY")=A112)*ISNUMBER('Stock In'!$A$7:$A$506)*'Stock In'!AJ7:AJ506),0)</f>
        <v>0</v>
      </c>
      <c r="M112" s="42" t="n">
        <f aca="false">IFERROR(SUMPRODUCT((TEXT('Stock In'!$A$7:$A$506,"MMM YYYY")=A112)*ISNUMBER('Stock In'!$A$7:$A$506)*'Stock In'!AM7:AM506),0)</f>
        <v>0</v>
      </c>
      <c r="N112" s="43" t="n">
        <f aca="false">SUM(B112:M112)</f>
        <v>0</v>
      </c>
    </row>
    <row r="113" customFormat="false" ht="18" hidden="false" customHeight="true" outlineLevel="0" collapsed="false">
      <c r="A113" s="50" t="s">
        <v>78</v>
      </c>
      <c r="B113" s="45" t="n">
        <f aca="false">IFERROR(SUMPRODUCT((TEXT('Stock In'!$A$7:$A$506,"MMM YYYY")=A113)*ISNUMBER('Stock In'!$A$7:$A$506)*'Stock In'!F7:F506),0)</f>
        <v>0</v>
      </c>
      <c r="C113" s="45" t="n">
        <f aca="false">IFERROR(SUMPRODUCT((TEXT('Stock In'!$A$7:$A$506,"MMM YYYY")=A113)*ISNUMBER('Stock In'!$A$7:$A$506)*'Stock In'!I7:I506),0)</f>
        <v>0</v>
      </c>
      <c r="D113" s="45" t="n">
        <f aca="false">IFERROR(SUMPRODUCT((TEXT('Stock In'!$A$7:$A$506,"MMM YYYY")=A113)*ISNUMBER('Stock In'!$A$7:$A$506)*'Stock In'!L7:L506),0)</f>
        <v>0</v>
      </c>
      <c r="E113" s="45" t="n">
        <f aca="false">IFERROR(SUMPRODUCT((TEXT('Stock In'!$A$7:$A$506,"MMM YYYY")=A113)*ISNUMBER('Stock In'!$A$7:$A$506)*'Stock In'!O7:O506),0)</f>
        <v>0</v>
      </c>
      <c r="F113" s="45" t="n">
        <f aca="false">IFERROR(SUMPRODUCT((TEXT('Stock In'!$A$7:$A$506,"MMM YYYY")=A113)*ISNUMBER('Stock In'!$A$7:$A$506)*'Stock In'!R7:R506),0)</f>
        <v>0</v>
      </c>
      <c r="G113" s="45" t="n">
        <f aca="false">IFERROR(SUMPRODUCT((TEXT('Stock In'!$A$7:$A$506,"MMM YYYY")=A113)*ISNUMBER('Stock In'!$A$7:$A$506)*'Stock In'!U7:U506),0)</f>
        <v>0</v>
      </c>
      <c r="H113" s="45" t="n">
        <f aca="false">IFERROR(SUMPRODUCT((TEXT('Stock In'!$A$7:$A$506,"MMM YYYY")=A113)*ISNUMBER('Stock In'!$A$7:$A$506)*'Stock In'!X7:X506),0)</f>
        <v>0</v>
      </c>
      <c r="I113" s="45" t="n">
        <f aca="false">IFERROR(SUMPRODUCT((TEXT('Stock In'!$A$7:$A$506,"MMM YYYY")=A113)*ISNUMBER('Stock In'!$A$7:$A$506)*'Stock In'!AA7:AA506),0)</f>
        <v>0</v>
      </c>
      <c r="J113" s="45" t="n">
        <f aca="false">IFERROR(SUMPRODUCT((TEXT('Stock In'!$A$7:$A$506,"MMM YYYY")=A113)*ISNUMBER('Stock In'!$A$7:$A$506)*'Stock In'!AD7:AD506),0)</f>
        <v>0</v>
      </c>
      <c r="K113" s="45" t="n">
        <f aca="false">IFERROR(SUMPRODUCT((TEXT('Stock In'!$A$7:$A$506,"MMM YYYY")=A113)*ISNUMBER('Stock In'!$A$7:$A$506)*'Stock In'!AG7:AG506),0)</f>
        <v>0</v>
      </c>
      <c r="L113" s="45" t="n">
        <f aca="false">IFERROR(SUMPRODUCT((TEXT('Stock In'!$A$7:$A$506,"MMM YYYY")=A113)*ISNUMBER('Stock In'!$A$7:$A$506)*'Stock In'!AJ7:AJ506),0)</f>
        <v>0</v>
      </c>
      <c r="M113" s="45" t="n">
        <f aca="false">IFERROR(SUMPRODUCT((TEXT('Stock In'!$A$7:$A$506,"MMM YYYY")=A113)*ISNUMBER('Stock In'!$A$7:$A$506)*'Stock In'!AM7:AM506),0)</f>
        <v>0</v>
      </c>
      <c r="N113" s="46" t="n">
        <f aca="false">SUM(B113:M113)</f>
        <v>0</v>
      </c>
    </row>
    <row r="114" customFormat="false" ht="18" hidden="false" customHeight="true" outlineLevel="0" collapsed="false">
      <c r="A114" s="49" t="s">
        <v>79</v>
      </c>
      <c r="B114" s="42" t="n">
        <f aca="false">IFERROR(SUMPRODUCT((TEXT('Stock In'!$A$7:$A$506,"MMM YYYY")=A114)*ISNUMBER('Stock In'!$A$7:$A$506)*'Stock In'!F7:F506),0)</f>
        <v>0</v>
      </c>
      <c r="C114" s="42" t="n">
        <f aca="false">IFERROR(SUMPRODUCT((TEXT('Stock In'!$A$7:$A$506,"MMM YYYY")=A114)*ISNUMBER('Stock In'!$A$7:$A$506)*'Stock In'!I7:I506),0)</f>
        <v>0</v>
      </c>
      <c r="D114" s="42" t="n">
        <f aca="false">IFERROR(SUMPRODUCT((TEXT('Stock In'!$A$7:$A$506,"MMM YYYY")=A114)*ISNUMBER('Stock In'!$A$7:$A$506)*'Stock In'!L7:L506),0)</f>
        <v>0</v>
      </c>
      <c r="E114" s="42" t="n">
        <f aca="false">IFERROR(SUMPRODUCT((TEXT('Stock In'!$A$7:$A$506,"MMM YYYY")=A114)*ISNUMBER('Stock In'!$A$7:$A$506)*'Stock In'!O7:O506),0)</f>
        <v>0</v>
      </c>
      <c r="F114" s="42" t="n">
        <f aca="false">IFERROR(SUMPRODUCT((TEXT('Stock In'!$A$7:$A$506,"MMM YYYY")=A114)*ISNUMBER('Stock In'!$A$7:$A$506)*'Stock In'!R7:R506),0)</f>
        <v>0</v>
      </c>
      <c r="G114" s="42" t="n">
        <f aca="false">IFERROR(SUMPRODUCT((TEXT('Stock In'!$A$7:$A$506,"MMM YYYY")=A114)*ISNUMBER('Stock In'!$A$7:$A$506)*'Stock In'!U7:U506),0)</f>
        <v>0</v>
      </c>
      <c r="H114" s="42" t="n">
        <f aca="false">IFERROR(SUMPRODUCT((TEXT('Stock In'!$A$7:$A$506,"MMM YYYY")=A114)*ISNUMBER('Stock In'!$A$7:$A$506)*'Stock In'!X7:X506),0)</f>
        <v>0</v>
      </c>
      <c r="I114" s="42" t="n">
        <f aca="false">IFERROR(SUMPRODUCT((TEXT('Stock In'!$A$7:$A$506,"MMM YYYY")=A114)*ISNUMBER('Stock In'!$A$7:$A$506)*'Stock In'!AA7:AA506),0)</f>
        <v>0</v>
      </c>
      <c r="J114" s="42" t="n">
        <f aca="false">IFERROR(SUMPRODUCT((TEXT('Stock In'!$A$7:$A$506,"MMM YYYY")=A114)*ISNUMBER('Stock In'!$A$7:$A$506)*'Stock In'!AD7:AD506),0)</f>
        <v>0</v>
      </c>
      <c r="K114" s="42" t="n">
        <f aca="false">IFERROR(SUMPRODUCT((TEXT('Stock In'!$A$7:$A$506,"MMM YYYY")=A114)*ISNUMBER('Stock In'!$A$7:$A$506)*'Stock In'!AG7:AG506),0)</f>
        <v>0</v>
      </c>
      <c r="L114" s="42" t="n">
        <f aca="false">IFERROR(SUMPRODUCT((TEXT('Stock In'!$A$7:$A$506,"MMM YYYY")=A114)*ISNUMBER('Stock In'!$A$7:$A$506)*'Stock In'!AJ7:AJ506),0)</f>
        <v>0</v>
      </c>
      <c r="M114" s="42" t="n">
        <f aca="false">IFERROR(SUMPRODUCT((TEXT('Stock In'!$A$7:$A$506,"MMM YYYY")=A114)*ISNUMBER('Stock In'!$A$7:$A$506)*'Stock In'!AM7:AM506),0)</f>
        <v>0</v>
      </c>
      <c r="N114" s="43" t="n">
        <f aca="false">SUM(B114:M114)</f>
        <v>0</v>
      </c>
    </row>
    <row r="115" customFormat="false" ht="18" hidden="false" customHeight="true" outlineLevel="0" collapsed="false">
      <c r="A115" s="50" t="s">
        <v>80</v>
      </c>
      <c r="B115" s="45" t="n">
        <f aca="false">IFERROR(SUMPRODUCT((TEXT('Stock In'!$A$7:$A$506,"MMM YYYY")=A115)*ISNUMBER('Stock In'!$A$7:$A$506)*'Stock In'!F7:F506),0)</f>
        <v>0</v>
      </c>
      <c r="C115" s="45" t="n">
        <f aca="false">IFERROR(SUMPRODUCT((TEXT('Stock In'!$A$7:$A$506,"MMM YYYY")=A115)*ISNUMBER('Stock In'!$A$7:$A$506)*'Stock In'!I7:I506),0)</f>
        <v>0</v>
      </c>
      <c r="D115" s="45" t="n">
        <f aca="false">IFERROR(SUMPRODUCT((TEXT('Stock In'!$A$7:$A$506,"MMM YYYY")=A115)*ISNUMBER('Stock In'!$A$7:$A$506)*'Stock In'!L7:L506),0)</f>
        <v>0</v>
      </c>
      <c r="E115" s="45" t="n">
        <f aca="false">IFERROR(SUMPRODUCT((TEXT('Stock In'!$A$7:$A$506,"MMM YYYY")=A115)*ISNUMBER('Stock In'!$A$7:$A$506)*'Stock In'!O7:O506),0)</f>
        <v>0</v>
      </c>
      <c r="F115" s="45" t="n">
        <f aca="false">IFERROR(SUMPRODUCT((TEXT('Stock In'!$A$7:$A$506,"MMM YYYY")=A115)*ISNUMBER('Stock In'!$A$7:$A$506)*'Stock In'!R7:R506),0)</f>
        <v>0</v>
      </c>
      <c r="G115" s="45" t="n">
        <f aca="false">IFERROR(SUMPRODUCT((TEXT('Stock In'!$A$7:$A$506,"MMM YYYY")=A115)*ISNUMBER('Stock In'!$A$7:$A$506)*'Stock In'!U7:U506),0)</f>
        <v>0</v>
      </c>
      <c r="H115" s="45" t="n">
        <f aca="false">IFERROR(SUMPRODUCT((TEXT('Stock In'!$A$7:$A$506,"MMM YYYY")=A115)*ISNUMBER('Stock In'!$A$7:$A$506)*'Stock In'!X7:X506),0)</f>
        <v>0</v>
      </c>
      <c r="I115" s="45" t="n">
        <f aca="false">IFERROR(SUMPRODUCT((TEXT('Stock In'!$A$7:$A$506,"MMM YYYY")=A115)*ISNUMBER('Stock In'!$A$7:$A$506)*'Stock In'!AA7:AA506),0)</f>
        <v>0</v>
      </c>
      <c r="J115" s="45" t="n">
        <f aca="false">IFERROR(SUMPRODUCT((TEXT('Stock In'!$A$7:$A$506,"MMM YYYY")=A115)*ISNUMBER('Stock In'!$A$7:$A$506)*'Stock In'!AD7:AD506),0)</f>
        <v>0</v>
      </c>
      <c r="K115" s="45" t="n">
        <f aca="false">IFERROR(SUMPRODUCT((TEXT('Stock In'!$A$7:$A$506,"MMM YYYY")=A115)*ISNUMBER('Stock In'!$A$7:$A$506)*'Stock In'!AG7:AG506),0)</f>
        <v>0</v>
      </c>
      <c r="L115" s="45" t="n">
        <f aca="false">IFERROR(SUMPRODUCT((TEXT('Stock In'!$A$7:$A$506,"MMM YYYY")=A115)*ISNUMBER('Stock In'!$A$7:$A$506)*'Stock In'!AJ7:AJ506),0)</f>
        <v>0</v>
      </c>
      <c r="M115" s="45" t="n">
        <f aca="false">IFERROR(SUMPRODUCT((TEXT('Stock In'!$A$7:$A$506,"MMM YYYY")=A115)*ISNUMBER('Stock In'!$A$7:$A$506)*'Stock In'!AM7:AM506),0)</f>
        <v>0</v>
      </c>
      <c r="N115" s="46" t="n">
        <f aca="false">SUM(B115:M115)</f>
        <v>0</v>
      </c>
    </row>
    <row r="116" customFormat="false" ht="13.8" hidden="false" customHeight="false" outlineLevel="0" collapsed="false"/>
    <row r="117" customFormat="false" ht="4.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customFormat="false" ht="19.5" hidden="false" customHeight="true" outlineLevel="0" collapsed="false">
      <c r="A118" s="24" t="s">
        <v>27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</row>
  </sheetData>
  <mergeCells count="11">
    <mergeCell ref="A1:N1"/>
    <mergeCell ref="A2:N2"/>
    <mergeCell ref="A3:N3"/>
    <mergeCell ref="A4:E4"/>
    <mergeCell ref="F4:I4"/>
    <mergeCell ref="J4:N4"/>
    <mergeCell ref="A7:N7"/>
    <mergeCell ref="A70:N70"/>
    <mergeCell ref="A99:N99"/>
    <mergeCell ref="A117:N117"/>
    <mergeCell ref="A118:N1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8A60"/>
    <pageSetUpPr fitToPage="false"/>
  </sheetPr>
  <dimension ref="A1:O5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14" min="2" style="0" width="10"/>
    <col collapsed="false" customWidth="true" hidden="false" outlineLevel="0" max="15" min="15" style="0" width="22"/>
  </cols>
  <sheetData>
    <row r="1" customFormat="false" ht="36" hidden="false" customHeight="true" outlineLevel="0" collapsed="false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1.75" hidden="false" customHeight="true" outlineLevel="0" collapsed="false">
      <c r="A4" s="58" t="s">
        <v>103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</row>
    <row r="5" customFormat="false" ht="3.75" hidden="false" customHeight="true" outlineLevel="0" collapsed="false"/>
    <row r="6" customFormat="false" ht="44.55" hidden="false" customHeight="false" outlineLevel="0" collapsed="false">
      <c r="A6" s="8" t="s">
        <v>104</v>
      </c>
      <c r="B6" s="9" t="s">
        <v>105</v>
      </c>
      <c r="C6" s="9" t="s">
        <v>106</v>
      </c>
      <c r="D6" s="9" t="s">
        <v>107</v>
      </c>
      <c r="E6" s="9" t="s">
        <v>108</v>
      </c>
      <c r="F6" s="9" t="s">
        <v>109</v>
      </c>
      <c r="G6" s="9" t="s">
        <v>110</v>
      </c>
      <c r="H6" s="9" t="s">
        <v>111</v>
      </c>
      <c r="I6" s="9" t="s">
        <v>111</v>
      </c>
      <c r="J6" s="9" t="s">
        <v>111</v>
      </c>
      <c r="K6" s="9" t="s">
        <v>112</v>
      </c>
      <c r="L6" s="9" t="s">
        <v>113</v>
      </c>
      <c r="M6" s="9" t="s">
        <v>25</v>
      </c>
      <c r="N6" s="10" t="s">
        <v>114</v>
      </c>
      <c r="O6" s="11" t="s">
        <v>115</v>
      </c>
    </row>
    <row r="7" customFormat="false" ht="15" hidden="false" customHeight="true" outlineLevel="0" collapsed="false">
      <c r="A7" s="59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3" t="str">
        <f aca="false">IF(COUNTA(B7:M7)=0,"",SUMPRODUCT((ISNUMBER(B7:M7))*B7:M7))</f>
        <v/>
      </c>
      <c r="O7" s="60"/>
    </row>
    <row r="8" customFormat="false" ht="15" hidden="false" customHeight="true" outlineLevel="0" collapsed="false">
      <c r="A8" s="61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6" t="str">
        <f aca="false">IF(COUNTA(B8:M8)=0,"",SUMPRODUCT((ISNUMBER(B8:M8))*B8:M8))</f>
        <v/>
      </c>
      <c r="O8" s="62"/>
    </row>
    <row r="9" customFormat="false" ht="15" hidden="false" customHeight="true" outlineLevel="0" collapsed="false">
      <c r="A9" s="59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3" t="str">
        <f aca="false">IF(COUNTA(B9:M9)=0,"",SUMPRODUCT((ISNUMBER(B9:M9))*B9:M9))</f>
        <v/>
      </c>
      <c r="O9" s="60"/>
    </row>
    <row r="10" customFormat="false" ht="15" hidden="false" customHeight="true" outlineLevel="0" collapsed="false">
      <c r="A10" s="61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6" t="str">
        <f aca="false">IF(COUNTA(B10:M10)=0,"",SUMPRODUCT((ISNUMBER(B10:M10))*B10:M10))</f>
        <v/>
      </c>
      <c r="O10" s="62"/>
    </row>
    <row r="11" customFormat="false" ht="15" hidden="false" customHeight="true" outlineLevel="0" collapsed="false">
      <c r="A11" s="59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3" t="str">
        <f aca="false">IF(COUNTA(B11:M11)=0,"",SUMPRODUCT((ISNUMBER(B11:M11))*B11:M11))</f>
        <v/>
      </c>
      <c r="O11" s="60"/>
    </row>
    <row r="12" customFormat="false" ht="15" hidden="false" customHeight="true" outlineLevel="0" collapsed="false">
      <c r="A12" s="61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6" t="str">
        <f aca="false">IF(COUNTA(B12:M12)=0,"",SUMPRODUCT((ISNUMBER(B12:M12))*B12:M12))</f>
        <v/>
      </c>
      <c r="O12" s="62"/>
    </row>
    <row r="13" customFormat="false" ht="15" hidden="false" customHeight="true" outlineLevel="0" collapsed="false">
      <c r="A13" s="59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3" t="str">
        <f aca="false">IF(COUNTA(B13:M13)=0,"",SUMPRODUCT((ISNUMBER(B13:M13))*B13:M13))</f>
        <v/>
      </c>
      <c r="O13" s="60"/>
    </row>
    <row r="14" customFormat="false" ht="15" hidden="false" customHeight="true" outlineLevel="0" collapsed="false">
      <c r="A14" s="61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6" t="str">
        <f aca="false">IF(COUNTA(B14:M14)=0,"",SUMPRODUCT((ISNUMBER(B14:M14))*B14:M14))</f>
        <v/>
      </c>
      <c r="O14" s="62"/>
    </row>
    <row r="15" customFormat="false" ht="15" hidden="false" customHeight="true" outlineLevel="0" collapsed="false">
      <c r="A15" s="59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3" t="str">
        <f aca="false">IF(COUNTA(B15:M15)=0,"",SUMPRODUCT((ISNUMBER(B15:M15))*B15:M15))</f>
        <v/>
      </c>
      <c r="O15" s="60"/>
    </row>
    <row r="16" customFormat="false" ht="15" hidden="false" customHeight="true" outlineLevel="0" collapsed="false">
      <c r="A16" s="61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6" t="str">
        <f aca="false">IF(COUNTA(B16:M16)=0,"",SUMPRODUCT((ISNUMBER(B16:M16))*B16:M16))</f>
        <v/>
      </c>
      <c r="O16" s="62"/>
    </row>
    <row r="17" customFormat="false" ht="15" hidden="false" customHeight="true" outlineLevel="0" collapsed="false">
      <c r="A17" s="59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3" t="str">
        <f aca="false">IF(COUNTA(B17:M17)=0,"",SUMPRODUCT((ISNUMBER(B17:M17))*B17:M17))</f>
        <v/>
      </c>
      <c r="O17" s="60"/>
    </row>
    <row r="18" customFormat="false" ht="15" hidden="false" customHeight="true" outlineLevel="0" collapsed="false">
      <c r="A18" s="61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6" t="str">
        <f aca="false">IF(COUNTA(B18:M18)=0,"",SUMPRODUCT((ISNUMBER(B18:M18))*B18:M18))</f>
        <v/>
      </c>
      <c r="O18" s="62"/>
    </row>
    <row r="19" customFormat="false" ht="15" hidden="false" customHeight="true" outlineLevel="0" collapsed="false">
      <c r="A19" s="59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3" t="str">
        <f aca="false">IF(COUNTA(B19:M19)=0,"",SUMPRODUCT((ISNUMBER(B19:M19))*B19:M19))</f>
        <v/>
      </c>
      <c r="O19" s="60"/>
    </row>
    <row r="20" customFormat="false" ht="15" hidden="false" customHeight="true" outlineLevel="0" collapsed="false">
      <c r="A20" s="61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6" t="str">
        <f aca="false">IF(COUNTA(B20:M20)=0,"",SUMPRODUCT((ISNUMBER(B20:M20))*B20:M20))</f>
        <v/>
      </c>
      <c r="O20" s="62"/>
    </row>
    <row r="21" customFormat="false" ht="15" hidden="false" customHeight="true" outlineLevel="0" collapsed="false">
      <c r="A21" s="59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3" t="str">
        <f aca="false">IF(COUNTA(B21:M21)=0,"",SUMPRODUCT((ISNUMBER(B21:M21))*B21:M21))</f>
        <v/>
      </c>
      <c r="O21" s="60"/>
    </row>
    <row r="22" customFormat="false" ht="15" hidden="false" customHeight="true" outlineLevel="0" collapsed="false">
      <c r="A22" s="61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6" t="str">
        <f aca="false">IF(COUNTA(B22:M22)=0,"",SUMPRODUCT((ISNUMBER(B22:M22))*B22:M22))</f>
        <v/>
      </c>
      <c r="O22" s="62"/>
    </row>
    <row r="23" customFormat="false" ht="15" hidden="false" customHeight="true" outlineLevel="0" collapsed="false">
      <c r="A23" s="59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3" t="str">
        <f aca="false">IF(COUNTA(B23:M23)=0,"",SUMPRODUCT((ISNUMBER(B23:M23))*B23:M23))</f>
        <v/>
      </c>
      <c r="O23" s="60"/>
    </row>
    <row r="24" customFormat="false" ht="15" hidden="false" customHeight="true" outlineLevel="0" collapsed="false">
      <c r="A24" s="61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6" t="str">
        <f aca="false">IF(COUNTA(B24:M24)=0,"",SUMPRODUCT((ISNUMBER(B24:M24))*B24:M24))</f>
        <v/>
      </c>
      <c r="O24" s="62"/>
    </row>
    <row r="25" customFormat="false" ht="15" hidden="false" customHeight="true" outlineLevel="0" collapsed="false">
      <c r="A25" s="59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3" t="str">
        <f aca="false">IF(COUNTA(B25:M25)=0,"",SUMPRODUCT((ISNUMBER(B25:M25))*B25:M25))</f>
        <v/>
      </c>
      <c r="O25" s="60"/>
    </row>
    <row r="26" customFormat="false" ht="15" hidden="false" customHeight="true" outlineLevel="0" collapsed="false">
      <c r="A26" s="61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6" t="str">
        <f aca="false">IF(COUNTA(B26:M26)=0,"",SUMPRODUCT((ISNUMBER(B26:M26))*B26:M26))</f>
        <v/>
      </c>
      <c r="O26" s="62"/>
    </row>
    <row r="27" customFormat="false" ht="15" hidden="false" customHeight="true" outlineLevel="0" collapsed="false">
      <c r="A27" s="59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3" t="str">
        <f aca="false">IF(COUNTA(B27:M27)=0,"",SUMPRODUCT((ISNUMBER(B27:M27))*B27:M27))</f>
        <v/>
      </c>
      <c r="O27" s="60"/>
    </row>
    <row r="28" customFormat="false" ht="15" hidden="false" customHeight="true" outlineLevel="0" collapsed="false">
      <c r="A28" s="61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6" t="str">
        <f aca="false">IF(COUNTA(B28:M28)=0,"",SUMPRODUCT((ISNUMBER(B28:M28))*B28:M28))</f>
        <v/>
      </c>
      <c r="O28" s="62"/>
    </row>
    <row r="29" customFormat="false" ht="15" hidden="false" customHeight="true" outlineLevel="0" collapsed="false">
      <c r="A29" s="59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3" t="str">
        <f aca="false">IF(COUNTA(B29:M29)=0,"",SUMPRODUCT((ISNUMBER(B29:M29))*B29:M29))</f>
        <v/>
      </c>
      <c r="O29" s="60"/>
    </row>
    <row r="30" customFormat="false" ht="15" hidden="false" customHeight="true" outlineLevel="0" collapsed="false">
      <c r="A30" s="61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6" t="str">
        <f aca="false">IF(COUNTA(B30:M30)=0,"",SUMPRODUCT((ISNUMBER(B30:M30))*B30:M30))</f>
        <v/>
      </c>
      <c r="O30" s="62"/>
    </row>
    <row r="31" customFormat="false" ht="15" hidden="false" customHeight="true" outlineLevel="0" collapsed="false">
      <c r="A31" s="59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3" t="str">
        <f aca="false">IF(COUNTA(B31:M31)=0,"",SUMPRODUCT((ISNUMBER(B31:M31))*B31:M31))</f>
        <v/>
      </c>
      <c r="O31" s="60"/>
    </row>
    <row r="32" customFormat="false" ht="15" hidden="false" customHeight="true" outlineLevel="0" collapsed="false">
      <c r="A32" s="61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6" t="str">
        <f aca="false">IF(COUNTA(B32:M32)=0,"",SUMPRODUCT((ISNUMBER(B32:M32))*B32:M32))</f>
        <v/>
      </c>
      <c r="O32" s="62"/>
    </row>
    <row r="33" customFormat="false" ht="15" hidden="false" customHeight="true" outlineLevel="0" collapsed="false">
      <c r="A33" s="59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3" t="str">
        <f aca="false">IF(COUNTA(B33:M33)=0,"",SUMPRODUCT((ISNUMBER(B33:M33))*B33:M33))</f>
        <v/>
      </c>
      <c r="O33" s="60"/>
    </row>
    <row r="34" customFormat="false" ht="15" hidden="false" customHeight="true" outlineLevel="0" collapsed="false">
      <c r="A34" s="61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6" t="str">
        <f aca="false">IF(COUNTA(B34:M34)=0,"",SUMPRODUCT((ISNUMBER(B34:M34))*B34:M34))</f>
        <v/>
      </c>
      <c r="O34" s="62"/>
    </row>
    <row r="35" customFormat="false" ht="15" hidden="false" customHeight="true" outlineLevel="0" collapsed="false">
      <c r="A35" s="59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3" t="str">
        <f aca="false">IF(COUNTA(B35:M35)=0,"",SUMPRODUCT((ISNUMBER(B35:M35))*B35:M35))</f>
        <v/>
      </c>
      <c r="O35" s="60"/>
    </row>
    <row r="36" customFormat="false" ht="15" hidden="false" customHeight="true" outlineLevel="0" collapsed="false">
      <c r="A36" s="61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6" t="str">
        <f aca="false">IF(COUNTA(B36:M36)=0,"",SUMPRODUCT((ISNUMBER(B36:M36))*B36:M36))</f>
        <v/>
      </c>
      <c r="O36" s="62"/>
    </row>
    <row r="37" customFormat="false" ht="15" hidden="false" customHeight="true" outlineLevel="0" collapsed="false">
      <c r="A37" s="59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3" t="str">
        <f aca="false">IF(COUNTA(B37:M37)=0,"",SUMPRODUCT((ISNUMBER(B37:M37))*B37:M37))</f>
        <v/>
      </c>
      <c r="O37" s="60"/>
    </row>
    <row r="38" customFormat="false" ht="15" hidden="false" customHeight="true" outlineLevel="0" collapsed="false">
      <c r="A38" s="61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6" t="str">
        <f aca="false">IF(COUNTA(B38:M38)=0,"",SUMPRODUCT((ISNUMBER(B38:M38))*B38:M38))</f>
        <v/>
      </c>
      <c r="O38" s="62"/>
    </row>
    <row r="39" customFormat="false" ht="15" hidden="false" customHeight="true" outlineLevel="0" collapsed="false">
      <c r="A39" s="59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3" t="str">
        <f aca="false">IF(COUNTA(B39:M39)=0,"",SUMPRODUCT((ISNUMBER(B39:M39))*B39:M39))</f>
        <v/>
      </c>
      <c r="O39" s="60"/>
    </row>
    <row r="40" customFormat="false" ht="15" hidden="false" customHeight="true" outlineLevel="0" collapsed="false">
      <c r="A40" s="61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6" t="str">
        <f aca="false">IF(COUNTA(B40:M40)=0,"",SUMPRODUCT((ISNUMBER(B40:M40))*B40:M40))</f>
        <v/>
      </c>
      <c r="O40" s="62"/>
    </row>
    <row r="41" customFormat="false" ht="15" hidden="false" customHeight="true" outlineLevel="0" collapsed="false">
      <c r="A41" s="59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3" t="str">
        <f aca="false">IF(COUNTA(B41:M41)=0,"",SUMPRODUCT((ISNUMBER(B41:M41))*B41:M41))</f>
        <v/>
      </c>
      <c r="O41" s="60"/>
    </row>
    <row r="42" customFormat="false" ht="15" hidden="false" customHeight="true" outlineLevel="0" collapsed="false">
      <c r="A42" s="61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6" t="str">
        <f aca="false">IF(COUNTA(B42:M42)=0,"",SUMPRODUCT((ISNUMBER(B42:M42))*B42:M42))</f>
        <v/>
      </c>
      <c r="O42" s="62"/>
    </row>
    <row r="43" customFormat="false" ht="15" hidden="false" customHeight="true" outlineLevel="0" collapsed="false">
      <c r="A43" s="59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3" t="str">
        <f aca="false">IF(COUNTA(B43:M43)=0,"",SUMPRODUCT((ISNUMBER(B43:M43))*B43:M43))</f>
        <v/>
      </c>
      <c r="O43" s="60"/>
    </row>
    <row r="44" customFormat="false" ht="15" hidden="false" customHeight="true" outlineLevel="0" collapsed="false">
      <c r="A44" s="61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6" t="str">
        <f aca="false">IF(COUNTA(B44:M44)=0,"",SUMPRODUCT((ISNUMBER(B44:M44))*B44:M44))</f>
        <v/>
      </c>
      <c r="O44" s="62"/>
    </row>
    <row r="45" customFormat="false" ht="15" hidden="false" customHeight="true" outlineLevel="0" collapsed="false">
      <c r="A45" s="59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3" t="str">
        <f aca="false">IF(COUNTA(B45:M45)=0,"",SUMPRODUCT((ISNUMBER(B45:M45))*B45:M45))</f>
        <v/>
      </c>
      <c r="O45" s="60"/>
    </row>
    <row r="46" customFormat="false" ht="15" hidden="false" customHeight="true" outlineLevel="0" collapsed="false">
      <c r="A46" s="61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6" t="str">
        <f aca="false">IF(COUNTA(B46:M46)=0,"",SUMPRODUCT((ISNUMBER(B46:M46))*B46:M46))</f>
        <v/>
      </c>
      <c r="O46" s="62"/>
    </row>
    <row r="47" customFormat="false" ht="15" hidden="false" customHeight="true" outlineLevel="0" collapsed="false">
      <c r="A47" s="59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3" t="str">
        <f aca="false">IF(COUNTA(B47:M47)=0,"",SUMPRODUCT((ISNUMBER(B47:M47))*B47:M47))</f>
        <v/>
      </c>
      <c r="O47" s="60"/>
    </row>
    <row r="48" customFormat="false" ht="15" hidden="false" customHeight="true" outlineLevel="0" collapsed="false">
      <c r="A48" s="61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6" t="str">
        <f aca="false">IF(COUNTA(B48:M48)=0,"",SUMPRODUCT((ISNUMBER(B48:M48))*B48:M48))</f>
        <v/>
      </c>
      <c r="O48" s="62"/>
    </row>
    <row r="49" customFormat="false" ht="15" hidden="false" customHeight="true" outlineLevel="0" collapsed="false">
      <c r="A49" s="59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 t="str">
        <f aca="false">IF(COUNTA(B49:M49)=0,"",SUMPRODUCT((ISNUMBER(B49:M49))*B49:M49))</f>
        <v/>
      </c>
      <c r="O49" s="60"/>
    </row>
    <row r="50" customFormat="false" ht="15" hidden="false" customHeight="true" outlineLevel="0" collapsed="false">
      <c r="A50" s="61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6" t="str">
        <f aca="false">IF(COUNTA(B50:M50)=0,"",SUMPRODUCT((ISNUMBER(B50:M50))*B50:M50))</f>
        <v/>
      </c>
      <c r="O50" s="62"/>
    </row>
    <row r="51" customFormat="false" ht="15" hidden="false" customHeight="true" outlineLevel="0" collapsed="false">
      <c r="A51" s="59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 t="str">
        <f aca="false">IF(COUNTA(B51:M51)=0,"",SUMPRODUCT((ISNUMBER(B51:M51))*B51:M51))</f>
        <v/>
      </c>
      <c r="O51" s="60"/>
    </row>
    <row r="52" customFormat="false" ht="15" hidden="false" customHeight="true" outlineLevel="0" collapsed="false">
      <c r="A52" s="61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6" t="str">
        <f aca="false">IF(COUNTA(B52:M52)=0,"",SUMPRODUCT((ISNUMBER(B52:M52))*B52:M52))</f>
        <v/>
      </c>
      <c r="O52" s="62"/>
    </row>
    <row r="53" customFormat="false" ht="15" hidden="false" customHeight="true" outlineLevel="0" collapsed="false">
      <c r="A53" s="59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 t="str">
        <f aca="false">IF(COUNTA(B53:M53)=0,"",SUMPRODUCT((ISNUMBER(B53:M53))*B53:M53))</f>
        <v/>
      </c>
      <c r="O53" s="60"/>
    </row>
    <row r="54" customFormat="false" ht="15" hidden="false" customHeight="true" outlineLevel="0" collapsed="false">
      <c r="A54" s="61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 t="str">
        <f aca="false">IF(COUNTA(B54:M54)=0,"",SUMPRODUCT((ISNUMBER(B54:M54))*B54:M54))</f>
        <v/>
      </c>
      <c r="O54" s="62"/>
    </row>
    <row r="55" customFormat="false" ht="15" hidden="false" customHeight="true" outlineLevel="0" collapsed="false">
      <c r="A55" s="59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3" t="str">
        <f aca="false">IF(COUNTA(B55:M55)=0,"",SUMPRODUCT((ISNUMBER(B55:M55))*B55:M55))</f>
        <v/>
      </c>
      <c r="O55" s="60"/>
    </row>
    <row r="56" customFormat="false" ht="15" hidden="false" customHeight="true" outlineLevel="0" collapsed="false">
      <c r="A56" s="61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6" t="str">
        <f aca="false">IF(COUNTA(B56:M56)=0,"",SUMPRODUCT((ISNUMBER(B56:M56))*B56:M56))</f>
        <v/>
      </c>
      <c r="O56" s="62"/>
    </row>
    <row r="57" customFormat="false" ht="15" hidden="false" customHeight="true" outlineLevel="0" collapsed="false">
      <c r="A57" s="59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3" t="str">
        <f aca="false">IF(COUNTA(B57:M57)=0,"",SUMPRODUCT((ISNUMBER(B57:M57))*B57:M57))</f>
        <v/>
      </c>
      <c r="O57" s="60"/>
    </row>
    <row r="58" customFormat="false" ht="15" hidden="false" customHeight="true" outlineLevel="0" collapsed="false">
      <c r="A58" s="61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6" t="str">
        <f aca="false">IF(COUNTA(B58:M58)=0,"",SUMPRODUCT((ISNUMBER(B58:M58))*B58:M58))</f>
        <v/>
      </c>
      <c r="O58" s="62"/>
    </row>
    <row r="59" customFormat="false" ht="15" hidden="false" customHeight="true" outlineLevel="0" collapsed="false">
      <c r="A59" s="59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3" t="str">
        <f aca="false">IF(COUNTA(B59:M59)=0,"",SUMPRODUCT((ISNUMBER(B59:M59))*B59:M59))</f>
        <v/>
      </c>
      <c r="O59" s="60"/>
    </row>
    <row r="60" customFormat="false" ht="15" hidden="false" customHeight="true" outlineLevel="0" collapsed="false">
      <c r="A60" s="61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6" t="str">
        <f aca="false">IF(COUNTA(B60:M60)=0,"",SUMPRODUCT((ISNUMBER(B60:M60))*B60:M60))</f>
        <v/>
      </c>
      <c r="O60" s="62"/>
    </row>
    <row r="61" customFormat="false" ht="15" hidden="false" customHeight="true" outlineLevel="0" collapsed="false">
      <c r="A61" s="59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3" t="str">
        <f aca="false">IF(COUNTA(B61:M61)=0,"",SUMPRODUCT((ISNUMBER(B61:M61))*B61:M61))</f>
        <v/>
      </c>
      <c r="O61" s="60"/>
    </row>
    <row r="62" customFormat="false" ht="15" hidden="false" customHeight="true" outlineLevel="0" collapsed="false">
      <c r="A62" s="61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6" t="str">
        <f aca="false">IF(COUNTA(B62:M62)=0,"",SUMPRODUCT((ISNUMBER(B62:M62))*B62:M62))</f>
        <v/>
      </c>
      <c r="O62" s="62"/>
    </row>
    <row r="63" customFormat="false" ht="15" hidden="false" customHeight="true" outlineLevel="0" collapsed="false">
      <c r="A63" s="59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3" t="str">
        <f aca="false">IF(COUNTA(B63:M63)=0,"",SUMPRODUCT((ISNUMBER(B63:M63))*B63:M63))</f>
        <v/>
      </c>
      <c r="O63" s="60"/>
    </row>
    <row r="64" customFormat="false" ht="15" hidden="false" customHeight="true" outlineLevel="0" collapsed="false">
      <c r="A64" s="61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6" t="str">
        <f aca="false">IF(COUNTA(B64:M64)=0,"",SUMPRODUCT((ISNUMBER(B64:M64))*B64:M64))</f>
        <v/>
      </c>
      <c r="O64" s="62"/>
    </row>
    <row r="65" customFormat="false" ht="15" hidden="false" customHeight="true" outlineLevel="0" collapsed="false">
      <c r="A65" s="59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3" t="str">
        <f aca="false">IF(COUNTA(B65:M65)=0,"",SUMPRODUCT((ISNUMBER(B65:M65))*B65:M65))</f>
        <v/>
      </c>
      <c r="O65" s="60"/>
    </row>
    <row r="66" customFormat="false" ht="15" hidden="false" customHeight="true" outlineLevel="0" collapsed="false">
      <c r="A66" s="61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6" t="str">
        <f aca="false">IF(COUNTA(B66:M66)=0,"",SUMPRODUCT((ISNUMBER(B66:M66))*B66:M66))</f>
        <v/>
      </c>
      <c r="O66" s="62"/>
    </row>
    <row r="67" customFormat="false" ht="15" hidden="false" customHeight="true" outlineLevel="0" collapsed="false">
      <c r="A67" s="59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3" t="str">
        <f aca="false">IF(COUNTA(B67:M67)=0,"",SUMPRODUCT((ISNUMBER(B67:M67))*B67:M67))</f>
        <v/>
      </c>
      <c r="O67" s="60"/>
    </row>
    <row r="68" customFormat="false" ht="15" hidden="false" customHeight="true" outlineLevel="0" collapsed="false">
      <c r="A68" s="61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6" t="str">
        <f aca="false">IF(COUNTA(B68:M68)=0,"",SUMPRODUCT((ISNUMBER(B68:M68))*B68:M68))</f>
        <v/>
      </c>
      <c r="O68" s="62"/>
    </row>
    <row r="69" customFormat="false" ht="15" hidden="false" customHeight="true" outlineLevel="0" collapsed="false">
      <c r="A69" s="59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3" t="str">
        <f aca="false">IF(COUNTA(B69:M69)=0,"",SUMPRODUCT((ISNUMBER(B69:M69))*B69:M69))</f>
        <v/>
      </c>
      <c r="O69" s="60"/>
    </row>
    <row r="70" customFormat="false" ht="15" hidden="false" customHeight="true" outlineLevel="0" collapsed="false">
      <c r="A70" s="61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6" t="str">
        <f aca="false">IF(COUNTA(B70:M70)=0,"",SUMPRODUCT((ISNUMBER(B70:M70))*B70:M70))</f>
        <v/>
      </c>
      <c r="O70" s="62"/>
    </row>
    <row r="71" customFormat="false" ht="15" hidden="false" customHeight="true" outlineLevel="0" collapsed="false">
      <c r="A71" s="59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3" t="str">
        <f aca="false">IF(COUNTA(B71:M71)=0,"",SUMPRODUCT((ISNUMBER(B71:M71))*B71:M71))</f>
        <v/>
      </c>
      <c r="O71" s="60"/>
    </row>
    <row r="72" customFormat="false" ht="15" hidden="false" customHeight="true" outlineLevel="0" collapsed="false">
      <c r="A72" s="61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6" t="str">
        <f aca="false">IF(COUNTA(B72:M72)=0,"",SUMPRODUCT((ISNUMBER(B72:M72))*B72:M72))</f>
        <v/>
      </c>
      <c r="O72" s="62"/>
    </row>
    <row r="73" customFormat="false" ht="15" hidden="false" customHeight="true" outlineLevel="0" collapsed="false">
      <c r="A73" s="59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3" t="str">
        <f aca="false">IF(COUNTA(B73:M73)=0,"",SUMPRODUCT((ISNUMBER(B73:M73))*B73:M73))</f>
        <v/>
      </c>
      <c r="O73" s="60"/>
    </row>
    <row r="74" customFormat="false" ht="15" hidden="false" customHeight="true" outlineLevel="0" collapsed="false">
      <c r="A74" s="61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6" t="str">
        <f aca="false">IF(COUNTA(B74:M74)=0,"",SUMPRODUCT((ISNUMBER(B74:M74))*B74:M74))</f>
        <v/>
      </c>
      <c r="O74" s="62"/>
    </row>
    <row r="75" customFormat="false" ht="15" hidden="false" customHeight="true" outlineLevel="0" collapsed="false">
      <c r="A75" s="59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3" t="str">
        <f aca="false">IF(COUNTA(B75:M75)=0,"",SUMPRODUCT((ISNUMBER(B75:M75))*B75:M75))</f>
        <v/>
      </c>
      <c r="O75" s="60"/>
    </row>
    <row r="76" customFormat="false" ht="15" hidden="false" customHeight="true" outlineLevel="0" collapsed="false">
      <c r="A76" s="61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6" t="str">
        <f aca="false">IF(COUNTA(B76:M76)=0,"",SUMPRODUCT((ISNUMBER(B76:M76))*B76:M76))</f>
        <v/>
      </c>
      <c r="O76" s="62"/>
    </row>
    <row r="77" customFormat="false" ht="15" hidden="false" customHeight="true" outlineLevel="0" collapsed="false">
      <c r="A77" s="59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3" t="str">
        <f aca="false">IF(COUNTA(B77:M77)=0,"",SUMPRODUCT((ISNUMBER(B77:M77))*B77:M77))</f>
        <v/>
      </c>
      <c r="O77" s="60"/>
    </row>
    <row r="78" customFormat="false" ht="15" hidden="false" customHeight="true" outlineLevel="0" collapsed="false">
      <c r="A78" s="61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6" t="str">
        <f aca="false">IF(COUNTA(B78:M78)=0,"",SUMPRODUCT((ISNUMBER(B78:M78))*B78:M78))</f>
        <v/>
      </c>
      <c r="O78" s="62"/>
    </row>
    <row r="79" customFormat="false" ht="15" hidden="false" customHeight="true" outlineLevel="0" collapsed="false">
      <c r="A79" s="59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3" t="str">
        <f aca="false">IF(COUNTA(B79:M79)=0,"",SUMPRODUCT((ISNUMBER(B79:M79))*B79:M79))</f>
        <v/>
      </c>
      <c r="O79" s="60"/>
    </row>
    <row r="80" customFormat="false" ht="15" hidden="false" customHeight="true" outlineLevel="0" collapsed="false">
      <c r="A80" s="61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6" t="str">
        <f aca="false">IF(COUNTA(B80:M80)=0,"",SUMPRODUCT((ISNUMBER(B80:M80))*B80:M80))</f>
        <v/>
      </c>
      <c r="O80" s="62"/>
    </row>
    <row r="81" customFormat="false" ht="15" hidden="false" customHeight="true" outlineLevel="0" collapsed="false">
      <c r="A81" s="59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3" t="str">
        <f aca="false">IF(COUNTA(B81:M81)=0,"",SUMPRODUCT((ISNUMBER(B81:M81))*B81:M81))</f>
        <v/>
      </c>
      <c r="O81" s="60"/>
    </row>
    <row r="82" customFormat="false" ht="15" hidden="false" customHeight="true" outlineLevel="0" collapsed="false">
      <c r="A82" s="61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6" t="str">
        <f aca="false">IF(COUNTA(B82:M82)=0,"",SUMPRODUCT((ISNUMBER(B82:M82))*B82:M82))</f>
        <v/>
      </c>
      <c r="O82" s="62"/>
    </row>
    <row r="83" customFormat="false" ht="15" hidden="false" customHeight="true" outlineLevel="0" collapsed="false">
      <c r="A83" s="59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3" t="str">
        <f aca="false">IF(COUNTA(B83:M83)=0,"",SUMPRODUCT((ISNUMBER(B83:M83))*B83:M83))</f>
        <v/>
      </c>
      <c r="O83" s="60"/>
    </row>
    <row r="84" customFormat="false" ht="15" hidden="false" customHeight="true" outlineLevel="0" collapsed="false">
      <c r="A84" s="61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6" t="str">
        <f aca="false">IF(COUNTA(B84:M84)=0,"",SUMPRODUCT((ISNUMBER(B84:M84))*B84:M84))</f>
        <v/>
      </c>
      <c r="O84" s="62"/>
    </row>
    <row r="85" customFormat="false" ht="15" hidden="false" customHeight="true" outlineLevel="0" collapsed="false">
      <c r="A85" s="59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3" t="str">
        <f aca="false">IF(COUNTA(B85:M85)=0,"",SUMPRODUCT((ISNUMBER(B85:M85))*B85:M85))</f>
        <v/>
      </c>
      <c r="O85" s="60"/>
    </row>
    <row r="86" customFormat="false" ht="15" hidden="false" customHeight="true" outlineLevel="0" collapsed="false">
      <c r="A86" s="61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6" t="str">
        <f aca="false">IF(COUNTA(B86:M86)=0,"",SUMPRODUCT((ISNUMBER(B86:M86))*B86:M86))</f>
        <v/>
      </c>
      <c r="O86" s="62"/>
    </row>
    <row r="87" customFormat="false" ht="15" hidden="false" customHeight="true" outlineLevel="0" collapsed="false">
      <c r="A87" s="59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3" t="str">
        <f aca="false">IF(COUNTA(B87:M87)=0,"",SUMPRODUCT((ISNUMBER(B87:M87))*B87:M87))</f>
        <v/>
      </c>
      <c r="O87" s="60"/>
    </row>
    <row r="88" customFormat="false" ht="15" hidden="false" customHeight="true" outlineLevel="0" collapsed="false">
      <c r="A88" s="61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6" t="str">
        <f aca="false">IF(COUNTA(B88:M88)=0,"",SUMPRODUCT((ISNUMBER(B88:M88))*B88:M88))</f>
        <v/>
      </c>
      <c r="O88" s="62"/>
    </row>
    <row r="89" customFormat="false" ht="15" hidden="false" customHeight="true" outlineLevel="0" collapsed="false">
      <c r="A89" s="59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3" t="str">
        <f aca="false">IF(COUNTA(B89:M89)=0,"",SUMPRODUCT((ISNUMBER(B89:M89))*B89:M89))</f>
        <v/>
      </c>
      <c r="O89" s="60"/>
    </row>
    <row r="90" customFormat="false" ht="15" hidden="false" customHeight="true" outlineLevel="0" collapsed="false">
      <c r="A90" s="61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6" t="str">
        <f aca="false">IF(COUNTA(B90:M90)=0,"",SUMPRODUCT((ISNUMBER(B90:M90))*B90:M90))</f>
        <v/>
      </c>
      <c r="O90" s="62"/>
    </row>
    <row r="91" customFormat="false" ht="15" hidden="false" customHeight="true" outlineLevel="0" collapsed="false">
      <c r="A91" s="59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3" t="str">
        <f aca="false">IF(COUNTA(B91:M91)=0,"",SUMPRODUCT((ISNUMBER(B91:M91))*B91:M91))</f>
        <v/>
      </c>
      <c r="O91" s="60"/>
    </row>
    <row r="92" customFormat="false" ht="15" hidden="false" customHeight="true" outlineLevel="0" collapsed="false">
      <c r="A92" s="61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6" t="str">
        <f aca="false">IF(COUNTA(B92:M92)=0,"",SUMPRODUCT((ISNUMBER(B92:M92))*B92:M92))</f>
        <v/>
      </c>
      <c r="O92" s="62"/>
    </row>
    <row r="93" customFormat="false" ht="15" hidden="false" customHeight="true" outlineLevel="0" collapsed="false">
      <c r="A93" s="59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3" t="str">
        <f aca="false">IF(COUNTA(B93:M93)=0,"",SUMPRODUCT((ISNUMBER(B93:M93))*B93:M93))</f>
        <v/>
      </c>
      <c r="O93" s="60"/>
    </row>
    <row r="94" customFormat="false" ht="15" hidden="false" customHeight="true" outlineLevel="0" collapsed="false">
      <c r="A94" s="61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6" t="str">
        <f aca="false">IF(COUNTA(B94:M94)=0,"",SUMPRODUCT((ISNUMBER(B94:M94))*B94:M94))</f>
        <v/>
      </c>
      <c r="O94" s="62"/>
    </row>
    <row r="95" customFormat="false" ht="15" hidden="false" customHeight="true" outlineLevel="0" collapsed="false">
      <c r="A95" s="59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3" t="str">
        <f aca="false">IF(COUNTA(B95:M95)=0,"",SUMPRODUCT((ISNUMBER(B95:M95))*B95:M95))</f>
        <v/>
      </c>
      <c r="O95" s="60"/>
    </row>
    <row r="96" customFormat="false" ht="15" hidden="false" customHeight="true" outlineLevel="0" collapsed="false">
      <c r="A96" s="61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6" t="str">
        <f aca="false">IF(COUNTA(B96:M96)=0,"",SUMPRODUCT((ISNUMBER(B96:M96))*B96:M96))</f>
        <v/>
      </c>
      <c r="O96" s="62"/>
    </row>
    <row r="97" customFormat="false" ht="15" hidden="false" customHeight="true" outlineLevel="0" collapsed="false">
      <c r="A97" s="59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3" t="str">
        <f aca="false">IF(COUNTA(B97:M97)=0,"",SUMPRODUCT((ISNUMBER(B97:M97))*B97:M97))</f>
        <v/>
      </c>
      <c r="O97" s="60"/>
    </row>
    <row r="98" customFormat="false" ht="15" hidden="false" customHeight="true" outlineLevel="0" collapsed="false">
      <c r="A98" s="61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6" t="str">
        <f aca="false">IF(COUNTA(B98:M98)=0,"",SUMPRODUCT((ISNUMBER(B98:M98))*B98:M98))</f>
        <v/>
      </c>
      <c r="O98" s="62"/>
    </row>
    <row r="99" customFormat="false" ht="15" hidden="false" customHeight="true" outlineLevel="0" collapsed="false">
      <c r="A99" s="59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3" t="str">
        <f aca="false">IF(COUNTA(B99:M99)=0,"",SUMPRODUCT((ISNUMBER(B99:M99))*B99:M99))</f>
        <v/>
      </c>
      <c r="O99" s="60"/>
    </row>
    <row r="100" customFormat="false" ht="15" hidden="false" customHeight="true" outlineLevel="0" collapsed="false">
      <c r="A100" s="61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6" t="str">
        <f aca="false">IF(COUNTA(B100:M100)=0,"",SUMPRODUCT((ISNUMBER(B100:M100))*B100:M100))</f>
        <v/>
      </c>
      <c r="O100" s="62"/>
    </row>
    <row r="101" customFormat="false" ht="15" hidden="false" customHeight="true" outlineLevel="0" collapsed="false">
      <c r="A101" s="59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3" t="str">
        <f aca="false">IF(COUNTA(B101:M101)=0,"",SUMPRODUCT((ISNUMBER(B101:M101))*B101:M101))</f>
        <v/>
      </c>
      <c r="O101" s="60"/>
    </row>
    <row r="102" customFormat="false" ht="15" hidden="false" customHeight="true" outlineLevel="0" collapsed="false">
      <c r="A102" s="61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6" t="str">
        <f aca="false">IF(COUNTA(B102:M102)=0,"",SUMPRODUCT((ISNUMBER(B102:M102))*B102:M102))</f>
        <v/>
      </c>
      <c r="O102" s="62"/>
    </row>
    <row r="103" customFormat="false" ht="15" hidden="false" customHeight="true" outlineLevel="0" collapsed="false">
      <c r="A103" s="59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3" t="str">
        <f aca="false">IF(COUNTA(B103:M103)=0,"",SUMPRODUCT((ISNUMBER(B103:M103))*B103:M103))</f>
        <v/>
      </c>
      <c r="O103" s="60"/>
    </row>
    <row r="104" customFormat="false" ht="15" hidden="false" customHeight="true" outlineLevel="0" collapsed="false">
      <c r="A104" s="61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6" t="str">
        <f aca="false">IF(COUNTA(B104:M104)=0,"",SUMPRODUCT((ISNUMBER(B104:M104))*B104:M104))</f>
        <v/>
      </c>
      <c r="O104" s="62"/>
    </row>
    <row r="105" customFormat="false" ht="15" hidden="false" customHeight="true" outlineLevel="0" collapsed="false">
      <c r="A105" s="59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3" t="str">
        <f aca="false">IF(COUNTA(B105:M105)=0,"",SUMPRODUCT((ISNUMBER(B105:M105))*B105:M105))</f>
        <v/>
      </c>
      <c r="O105" s="60"/>
    </row>
    <row r="106" customFormat="false" ht="15" hidden="false" customHeight="true" outlineLevel="0" collapsed="false">
      <c r="A106" s="61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6" t="str">
        <f aca="false">IF(COUNTA(B106:M106)=0,"",SUMPRODUCT((ISNUMBER(B106:M106))*B106:M106))</f>
        <v/>
      </c>
      <c r="O106" s="62"/>
    </row>
    <row r="107" customFormat="false" ht="15" hidden="false" customHeight="true" outlineLevel="0" collapsed="false">
      <c r="A107" s="59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3" t="str">
        <f aca="false">IF(COUNTA(B107:M107)=0,"",SUMPRODUCT((ISNUMBER(B107:M107))*B107:M107))</f>
        <v/>
      </c>
      <c r="O107" s="60"/>
    </row>
    <row r="108" customFormat="false" ht="15" hidden="false" customHeight="true" outlineLevel="0" collapsed="false">
      <c r="A108" s="61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6" t="str">
        <f aca="false">IF(COUNTA(B108:M108)=0,"",SUMPRODUCT((ISNUMBER(B108:M108))*B108:M108))</f>
        <v/>
      </c>
      <c r="O108" s="62"/>
    </row>
    <row r="109" customFormat="false" ht="15" hidden="false" customHeight="true" outlineLevel="0" collapsed="false">
      <c r="A109" s="59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3" t="str">
        <f aca="false">IF(COUNTA(B109:M109)=0,"",SUMPRODUCT((ISNUMBER(B109:M109))*B109:M109))</f>
        <v/>
      </c>
      <c r="O109" s="60"/>
    </row>
    <row r="110" customFormat="false" ht="15" hidden="false" customHeight="true" outlineLevel="0" collapsed="false">
      <c r="A110" s="61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6" t="str">
        <f aca="false">IF(COUNTA(B110:M110)=0,"",SUMPRODUCT((ISNUMBER(B110:M110))*B110:M110))</f>
        <v/>
      </c>
      <c r="O110" s="62"/>
    </row>
    <row r="111" customFormat="false" ht="15" hidden="false" customHeight="true" outlineLevel="0" collapsed="false">
      <c r="A111" s="59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3" t="str">
        <f aca="false">IF(COUNTA(B111:M111)=0,"",SUMPRODUCT((ISNUMBER(B111:M111))*B111:M111))</f>
        <v/>
      </c>
      <c r="O111" s="60"/>
    </row>
    <row r="112" customFormat="false" ht="15" hidden="false" customHeight="true" outlineLevel="0" collapsed="false">
      <c r="A112" s="61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6" t="str">
        <f aca="false">IF(COUNTA(B112:M112)=0,"",SUMPRODUCT((ISNUMBER(B112:M112))*B112:M112))</f>
        <v/>
      </c>
      <c r="O112" s="62"/>
    </row>
    <row r="113" customFormat="false" ht="15" hidden="false" customHeight="true" outlineLevel="0" collapsed="false">
      <c r="A113" s="59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3" t="str">
        <f aca="false">IF(COUNTA(B113:M113)=0,"",SUMPRODUCT((ISNUMBER(B113:M113))*B113:M113))</f>
        <v/>
      </c>
      <c r="O113" s="60"/>
    </row>
    <row r="114" customFormat="false" ht="15" hidden="false" customHeight="true" outlineLevel="0" collapsed="false">
      <c r="A114" s="61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6" t="str">
        <f aca="false">IF(COUNTA(B114:M114)=0,"",SUMPRODUCT((ISNUMBER(B114:M114))*B114:M114))</f>
        <v/>
      </c>
      <c r="O114" s="62"/>
    </row>
    <row r="115" customFormat="false" ht="15" hidden="false" customHeight="true" outlineLevel="0" collapsed="false">
      <c r="A115" s="59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3" t="str">
        <f aca="false">IF(COUNTA(B115:M115)=0,"",SUMPRODUCT((ISNUMBER(B115:M115))*B115:M115))</f>
        <v/>
      </c>
      <c r="O115" s="60"/>
    </row>
    <row r="116" customFormat="false" ht="15" hidden="false" customHeight="true" outlineLevel="0" collapsed="false">
      <c r="A116" s="61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6" t="str">
        <f aca="false">IF(COUNTA(B116:M116)=0,"",SUMPRODUCT((ISNUMBER(B116:M116))*B116:M116))</f>
        <v/>
      </c>
      <c r="O116" s="62"/>
    </row>
    <row r="117" customFormat="false" ht="15" hidden="false" customHeight="true" outlineLevel="0" collapsed="false">
      <c r="A117" s="59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3" t="str">
        <f aca="false">IF(COUNTA(B117:M117)=0,"",SUMPRODUCT((ISNUMBER(B117:M117))*B117:M117))</f>
        <v/>
      </c>
      <c r="O117" s="60"/>
    </row>
    <row r="118" customFormat="false" ht="15" hidden="false" customHeight="true" outlineLevel="0" collapsed="false">
      <c r="A118" s="61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6" t="str">
        <f aca="false">IF(COUNTA(B118:M118)=0,"",SUMPRODUCT((ISNUMBER(B118:M118))*B118:M118))</f>
        <v/>
      </c>
      <c r="O118" s="62"/>
    </row>
    <row r="119" customFormat="false" ht="15" hidden="false" customHeight="true" outlineLevel="0" collapsed="false">
      <c r="A119" s="59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3" t="str">
        <f aca="false">IF(COUNTA(B119:M119)=0,"",SUMPRODUCT((ISNUMBER(B119:M119))*B119:M119))</f>
        <v/>
      </c>
      <c r="O119" s="60"/>
    </row>
    <row r="120" customFormat="false" ht="15" hidden="false" customHeight="true" outlineLevel="0" collapsed="false">
      <c r="A120" s="61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6" t="str">
        <f aca="false">IF(COUNTA(B120:M120)=0,"",SUMPRODUCT((ISNUMBER(B120:M120))*B120:M120))</f>
        <v/>
      </c>
      <c r="O120" s="62"/>
    </row>
    <row r="121" customFormat="false" ht="15" hidden="false" customHeight="true" outlineLevel="0" collapsed="false">
      <c r="A121" s="59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3" t="str">
        <f aca="false">IF(COUNTA(B121:M121)=0,"",SUMPRODUCT((ISNUMBER(B121:M121))*B121:M121))</f>
        <v/>
      </c>
      <c r="O121" s="60"/>
    </row>
    <row r="122" customFormat="false" ht="15" hidden="false" customHeight="true" outlineLevel="0" collapsed="false">
      <c r="A122" s="61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6" t="str">
        <f aca="false">IF(COUNTA(B122:M122)=0,"",SUMPRODUCT((ISNUMBER(B122:M122))*B122:M122))</f>
        <v/>
      </c>
      <c r="O122" s="62"/>
    </row>
    <row r="123" customFormat="false" ht="15" hidden="false" customHeight="true" outlineLevel="0" collapsed="false">
      <c r="A123" s="59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3" t="str">
        <f aca="false">IF(COUNTA(B123:M123)=0,"",SUMPRODUCT((ISNUMBER(B123:M123))*B123:M123))</f>
        <v/>
      </c>
      <c r="O123" s="60"/>
    </row>
    <row r="124" customFormat="false" ht="15" hidden="false" customHeight="true" outlineLevel="0" collapsed="false">
      <c r="A124" s="61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6" t="str">
        <f aca="false">IF(COUNTA(B124:M124)=0,"",SUMPRODUCT((ISNUMBER(B124:M124))*B124:M124))</f>
        <v/>
      </c>
      <c r="O124" s="62"/>
    </row>
    <row r="125" customFormat="false" ht="15" hidden="false" customHeight="true" outlineLevel="0" collapsed="false">
      <c r="A125" s="59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3" t="str">
        <f aca="false">IF(COUNTA(B125:M125)=0,"",SUMPRODUCT((ISNUMBER(B125:M125))*B125:M125))</f>
        <v/>
      </c>
      <c r="O125" s="60"/>
    </row>
    <row r="126" customFormat="false" ht="15" hidden="false" customHeight="true" outlineLevel="0" collapsed="false">
      <c r="A126" s="61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6" t="str">
        <f aca="false">IF(COUNTA(B126:M126)=0,"",SUMPRODUCT((ISNUMBER(B126:M126))*B126:M126))</f>
        <v/>
      </c>
      <c r="O126" s="62"/>
    </row>
    <row r="127" customFormat="false" ht="15" hidden="false" customHeight="true" outlineLevel="0" collapsed="false">
      <c r="A127" s="59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3" t="str">
        <f aca="false">IF(COUNTA(B127:M127)=0,"",SUMPRODUCT((ISNUMBER(B127:M127))*B127:M127))</f>
        <v/>
      </c>
      <c r="O127" s="60"/>
    </row>
    <row r="128" customFormat="false" ht="15" hidden="false" customHeight="true" outlineLevel="0" collapsed="false">
      <c r="A128" s="61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6" t="str">
        <f aca="false">IF(COUNTA(B128:M128)=0,"",SUMPRODUCT((ISNUMBER(B128:M128))*B128:M128))</f>
        <v/>
      </c>
      <c r="O128" s="62"/>
    </row>
    <row r="129" customFormat="false" ht="15" hidden="false" customHeight="true" outlineLevel="0" collapsed="false">
      <c r="A129" s="59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3" t="str">
        <f aca="false">IF(COUNTA(B129:M129)=0,"",SUMPRODUCT((ISNUMBER(B129:M129))*B129:M129))</f>
        <v/>
      </c>
      <c r="O129" s="60"/>
    </row>
    <row r="130" customFormat="false" ht="15" hidden="false" customHeight="true" outlineLevel="0" collapsed="false">
      <c r="A130" s="61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6" t="str">
        <f aca="false">IF(COUNTA(B130:M130)=0,"",SUMPRODUCT((ISNUMBER(B130:M130))*B130:M130))</f>
        <v/>
      </c>
      <c r="O130" s="62"/>
    </row>
    <row r="131" customFormat="false" ht="15" hidden="false" customHeight="true" outlineLevel="0" collapsed="false">
      <c r="A131" s="59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3" t="str">
        <f aca="false">IF(COUNTA(B131:M131)=0,"",SUMPRODUCT((ISNUMBER(B131:M131))*B131:M131))</f>
        <v/>
      </c>
      <c r="O131" s="60"/>
    </row>
    <row r="132" customFormat="false" ht="15" hidden="false" customHeight="true" outlineLevel="0" collapsed="false">
      <c r="A132" s="61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6" t="str">
        <f aca="false">IF(COUNTA(B132:M132)=0,"",SUMPRODUCT((ISNUMBER(B132:M132))*B132:M132))</f>
        <v/>
      </c>
      <c r="O132" s="62"/>
    </row>
    <row r="133" customFormat="false" ht="15" hidden="false" customHeight="true" outlineLevel="0" collapsed="false">
      <c r="A133" s="59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3" t="str">
        <f aca="false">IF(COUNTA(B133:M133)=0,"",SUMPRODUCT((ISNUMBER(B133:M133))*B133:M133))</f>
        <v/>
      </c>
      <c r="O133" s="60"/>
    </row>
    <row r="134" customFormat="false" ht="15" hidden="false" customHeight="true" outlineLevel="0" collapsed="false">
      <c r="A134" s="61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6" t="str">
        <f aca="false">IF(COUNTA(B134:M134)=0,"",SUMPRODUCT((ISNUMBER(B134:M134))*B134:M134))</f>
        <v/>
      </c>
      <c r="O134" s="62"/>
    </row>
    <row r="135" customFormat="false" ht="15" hidden="false" customHeight="true" outlineLevel="0" collapsed="false">
      <c r="A135" s="59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3" t="str">
        <f aca="false">IF(COUNTA(B135:M135)=0,"",SUMPRODUCT((ISNUMBER(B135:M135))*B135:M135))</f>
        <v/>
      </c>
      <c r="O135" s="60"/>
    </row>
    <row r="136" customFormat="false" ht="15" hidden="false" customHeight="true" outlineLevel="0" collapsed="false">
      <c r="A136" s="61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6" t="str">
        <f aca="false">IF(COUNTA(B136:M136)=0,"",SUMPRODUCT((ISNUMBER(B136:M136))*B136:M136))</f>
        <v/>
      </c>
      <c r="O136" s="62"/>
    </row>
    <row r="137" customFormat="false" ht="15" hidden="false" customHeight="true" outlineLevel="0" collapsed="false">
      <c r="A137" s="59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3" t="str">
        <f aca="false">IF(COUNTA(B137:M137)=0,"",SUMPRODUCT((ISNUMBER(B137:M137))*B137:M137))</f>
        <v/>
      </c>
      <c r="O137" s="60"/>
    </row>
    <row r="138" customFormat="false" ht="15" hidden="false" customHeight="true" outlineLevel="0" collapsed="false">
      <c r="A138" s="61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6" t="str">
        <f aca="false">IF(COUNTA(B138:M138)=0,"",SUMPRODUCT((ISNUMBER(B138:M138))*B138:M138))</f>
        <v/>
      </c>
      <c r="O138" s="62"/>
    </row>
    <row r="139" customFormat="false" ht="15" hidden="false" customHeight="true" outlineLevel="0" collapsed="false">
      <c r="A139" s="59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3" t="str">
        <f aca="false">IF(COUNTA(B139:M139)=0,"",SUMPRODUCT((ISNUMBER(B139:M139))*B139:M139))</f>
        <v/>
      </c>
      <c r="O139" s="60"/>
    </row>
    <row r="140" customFormat="false" ht="15" hidden="false" customHeight="true" outlineLevel="0" collapsed="false">
      <c r="A140" s="61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6" t="str">
        <f aca="false">IF(COUNTA(B140:M140)=0,"",SUMPRODUCT((ISNUMBER(B140:M140))*B140:M140))</f>
        <v/>
      </c>
      <c r="O140" s="62"/>
    </row>
    <row r="141" customFormat="false" ht="15" hidden="false" customHeight="true" outlineLevel="0" collapsed="false">
      <c r="A141" s="59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3" t="str">
        <f aca="false">IF(COUNTA(B141:M141)=0,"",SUMPRODUCT((ISNUMBER(B141:M141))*B141:M141))</f>
        <v/>
      </c>
      <c r="O141" s="60"/>
    </row>
    <row r="142" customFormat="false" ht="15" hidden="false" customHeight="true" outlineLevel="0" collapsed="false">
      <c r="A142" s="61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6" t="str">
        <f aca="false">IF(COUNTA(B142:M142)=0,"",SUMPRODUCT((ISNUMBER(B142:M142))*B142:M142))</f>
        <v/>
      </c>
      <c r="O142" s="62"/>
    </row>
    <row r="143" customFormat="false" ht="15" hidden="false" customHeight="true" outlineLevel="0" collapsed="false">
      <c r="A143" s="59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3" t="str">
        <f aca="false">IF(COUNTA(B143:M143)=0,"",SUMPRODUCT((ISNUMBER(B143:M143))*B143:M143))</f>
        <v/>
      </c>
      <c r="O143" s="60"/>
    </row>
    <row r="144" customFormat="false" ht="15" hidden="false" customHeight="true" outlineLevel="0" collapsed="false">
      <c r="A144" s="61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6" t="str">
        <f aca="false">IF(COUNTA(B144:M144)=0,"",SUMPRODUCT((ISNUMBER(B144:M144))*B144:M144))</f>
        <v/>
      </c>
      <c r="O144" s="62"/>
    </row>
    <row r="145" customFormat="false" ht="15" hidden="false" customHeight="true" outlineLevel="0" collapsed="false">
      <c r="A145" s="59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3" t="str">
        <f aca="false">IF(COUNTA(B145:M145)=0,"",SUMPRODUCT((ISNUMBER(B145:M145))*B145:M145))</f>
        <v/>
      </c>
      <c r="O145" s="60"/>
    </row>
    <row r="146" customFormat="false" ht="15" hidden="false" customHeight="true" outlineLevel="0" collapsed="false">
      <c r="A146" s="61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6" t="str">
        <f aca="false">IF(COUNTA(B146:M146)=0,"",SUMPRODUCT((ISNUMBER(B146:M146))*B146:M146))</f>
        <v/>
      </c>
      <c r="O146" s="62"/>
    </row>
    <row r="147" customFormat="false" ht="15" hidden="false" customHeight="true" outlineLevel="0" collapsed="false">
      <c r="A147" s="59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3" t="str">
        <f aca="false">IF(COUNTA(B147:M147)=0,"",SUMPRODUCT((ISNUMBER(B147:M147))*B147:M147))</f>
        <v/>
      </c>
      <c r="O147" s="60"/>
    </row>
    <row r="148" customFormat="false" ht="15" hidden="false" customHeight="true" outlineLevel="0" collapsed="false">
      <c r="A148" s="61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6" t="str">
        <f aca="false">IF(COUNTA(B148:M148)=0,"",SUMPRODUCT((ISNUMBER(B148:M148))*B148:M148))</f>
        <v/>
      </c>
      <c r="O148" s="62"/>
    </row>
    <row r="149" customFormat="false" ht="15" hidden="false" customHeight="true" outlineLevel="0" collapsed="false">
      <c r="A149" s="59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3" t="str">
        <f aca="false">IF(COUNTA(B149:M149)=0,"",SUMPRODUCT((ISNUMBER(B149:M149))*B149:M149))</f>
        <v/>
      </c>
      <c r="O149" s="60"/>
    </row>
    <row r="150" customFormat="false" ht="15" hidden="false" customHeight="true" outlineLevel="0" collapsed="false">
      <c r="A150" s="61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6" t="str">
        <f aca="false">IF(COUNTA(B150:M150)=0,"",SUMPRODUCT((ISNUMBER(B150:M150))*B150:M150))</f>
        <v/>
      </c>
      <c r="O150" s="62"/>
    </row>
    <row r="151" customFormat="false" ht="15" hidden="false" customHeight="true" outlineLevel="0" collapsed="false">
      <c r="A151" s="59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3" t="str">
        <f aca="false">IF(COUNTA(B151:M151)=0,"",SUMPRODUCT((ISNUMBER(B151:M151))*B151:M151))</f>
        <v/>
      </c>
      <c r="O151" s="60"/>
    </row>
    <row r="152" customFormat="false" ht="15" hidden="false" customHeight="true" outlineLevel="0" collapsed="false">
      <c r="A152" s="61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6" t="str">
        <f aca="false">IF(COUNTA(B152:M152)=0,"",SUMPRODUCT((ISNUMBER(B152:M152))*B152:M152))</f>
        <v/>
      </c>
      <c r="O152" s="62"/>
    </row>
    <row r="153" customFormat="false" ht="15" hidden="false" customHeight="true" outlineLevel="0" collapsed="false">
      <c r="A153" s="59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3" t="str">
        <f aca="false">IF(COUNTA(B153:M153)=0,"",SUMPRODUCT((ISNUMBER(B153:M153))*B153:M153))</f>
        <v/>
      </c>
      <c r="O153" s="60"/>
    </row>
    <row r="154" customFormat="false" ht="15" hidden="false" customHeight="true" outlineLevel="0" collapsed="false">
      <c r="A154" s="61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6" t="str">
        <f aca="false">IF(COUNTA(B154:M154)=0,"",SUMPRODUCT((ISNUMBER(B154:M154))*B154:M154))</f>
        <v/>
      </c>
      <c r="O154" s="62"/>
    </row>
    <row r="155" customFormat="false" ht="15" hidden="false" customHeight="true" outlineLevel="0" collapsed="false">
      <c r="A155" s="59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3" t="str">
        <f aca="false">IF(COUNTA(B155:M155)=0,"",SUMPRODUCT((ISNUMBER(B155:M155))*B155:M155))</f>
        <v/>
      </c>
      <c r="O155" s="60"/>
    </row>
    <row r="156" customFormat="false" ht="15" hidden="false" customHeight="true" outlineLevel="0" collapsed="false">
      <c r="A156" s="61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6" t="str">
        <f aca="false">IF(COUNTA(B156:M156)=0,"",SUMPRODUCT((ISNUMBER(B156:M156))*B156:M156))</f>
        <v/>
      </c>
      <c r="O156" s="62"/>
    </row>
    <row r="157" customFormat="false" ht="15" hidden="false" customHeight="true" outlineLevel="0" collapsed="false">
      <c r="A157" s="59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3" t="str">
        <f aca="false">IF(COUNTA(B157:M157)=0,"",SUMPRODUCT((ISNUMBER(B157:M157))*B157:M157))</f>
        <v/>
      </c>
      <c r="O157" s="60"/>
    </row>
    <row r="158" customFormat="false" ht="15" hidden="false" customHeight="true" outlineLevel="0" collapsed="false">
      <c r="A158" s="61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6" t="str">
        <f aca="false">IF(COUNTA(B158:M158)=0,"",SUMPRODUCT((ISNUMBER(B158:M158))*B158:M158))</f>
        <v/>
      </c>
      <c r="O158" s="62"/>
    </row>
    <row r="159" customFormat="false" ht="15" hidden="false" customHeight="true" outlineLevel="0" collapsed="false">
      <c r="A159" s="59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3" t="str">
        <f aca="false">IF(COUNTA(B159:M159)=0,"",SUMPRODUCT((ISNUMBER(B159:M159))*B159:M159))</f>
        <v/>
      </c>
      <c r="O159" s="60"/>
    </row>
    <row r="160" customFormat="false" ht="15" hidden="false" customHeight="true" outlineLevel="0" collapsed="false">
      <c r="A160" s="61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6" t="str">
        <f aca="false">IF(COUNTA(B160:M160)=0,"",SUMPRODUCT((ISNUMBER(B160:M160))*B160:M160))</f>
        <v/>
      </c>
      <c r="O160" s="62"/>
    </row>
    <row r="161" customFormat="false" ht="15" hidden="false" customHeight="true" outlineLevel="0" collapsed="false">
      <c r="A161" s="59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3" t="str">
        <f aca="false">IF(COUNTA(B161:M161)=0,"",SUMPRODUCT((ISNUMBER(B161:M161))*B161:M161))</f>
        <v/>
      </c>
      <c r="O161" s="60"/>
    </row>
    <row r="162" customFormat="false" ht="15" hidden="false" customHeight="true" outlineLevel="0" collapsed="false">
      <c r="A162" s="61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6" t="str">
        <f aca="false">IF(COUNTA(B162:M162)=0,"",SUMPRODUCT((ISNUMBER(B162:M162))*B162:M162))</f>
        <v/>
      </c>
      <c r="O162" s="62"/>
    </row>
    <row r="163" customFormat="false" ht="15" hidden="false" customHeight="true" outlineLevel="0" collapsed="false">
      <c r="A163" s="59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3" t="str">
        <f aca="false">IF(COUNTA(B163:M163)=0,"",SUMPRODUCT((ISNUMBER(B163:M163))*B163:M163))</f>
        <v/>
      </c>
      <c r="O163" s="60"/>
    </row>
    <row r="164" customFormat="false" ht="15" hidden="false" customHeight="true" outlineLevel="0" collapsed="false">
      <c r="A164" s="61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6" t="str">
        <f aca="false">IF(COUNTA(B164:M164)=0,"",SUMPRODUCT((ISNUMBER(B164:M164))*B164:M164))</f>
        <v/>
      </c>
      <c r="O164" s="62"/>
    </row>
    <row r="165" customFormat="false" ht="15" hidden="false" customHeight="true" outlineLevel="0" collapsed="false">
      <c r="A165" s="59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3" t="str">
        <f aca="false">IF(COUNTA(B165:M165)=0,"",SUMPRODUCT((ISNUMBER(B165:M165))*B165:M165))</f>
        <v/>
      </c>
      <c r="O165" s="60"/>
    </row>
    <row r="166" customFormat="false" ht="15" hidden="false" customHeight="true" outlineLevel="0" collapsed="false">
      <c r="A166" s="61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6" t="str">
        <f aca="false">IF(COUNTA(B166:M166)=0,"",SUMPRODUCT((ISNUMBER(B166:M166))*B166:M166))</f>
        <v/>
      </c>
      <c r="O166" s="62"/>
    </row>
    <row r="167" customFormat="false" ht="15" hidden="false" customHeight="true" outlineLevel="0" collapsed="false">
      <c r="A167" s="59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3" t="str">
        <f aca="false">IF(COUNTA(B167:M167)=0,"",SUMPRODUCT((ISNUMBER(B167:M167))*B167:M167))</f>
        <v/>
      </c>
      <c r="O167" s="60"/>
    </row>
    <row r="168" customFormat="false" ht="15" hidden="false" customHeight="true" outlineLevel="0" collapsed="false">
      <c r="A168" s="61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6" t="str">
        <f aca="false">IF(COUNTA(B168:M168)=0,"",SUMPRODUCT((ISNUMBER(B168:M168))*B168:M168))</f>
        <v/>
      </c>
      <c r="O168" s="62"/>
    </row>
    <row r="169" customFormat="false" ht="15" hidden="false" customHeight="true" outlineLevel="0" collapsed="false">
      <c r="A169" s="59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3" t="str">
        <f aca="false">IF(COUNTA(B169:M169)=0,"",SUMPRODUCT((ISNUMBER(B169:M169))*B169:M169))</f>
        <v/>
      </c>
      <c r="O169" s="60"/>
    </row>
    <row r="170" customFormat="false" ht="15" hidden="false" customHeight="true" outlineLevel="0" collapsed="false">
      <c r="A170" s="61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6" t="str">
        <f aca="false">IF(COUNTA(B170:M170)=0,"",SUMPRODUCT((ISNUMBER(B170:M170))*B170:M170))</f>
        <v/>
      </c>
      <c r="O170" s="62"/>
    </row>
    <row r="171" customFormat="false" ht="15" hidden="false" customHeight="true" outlineLevel="0" collapsed="false">
      <c r="A171" s="59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3" t="str">
        <f aca="false">IF(COUNTA(B171:M171)=0,"",SUMPRODUCT((ISNUMBER(B171:M171))*B171:M171))</f>
        <v/>
      </c>
      <c r="O171" s="60"/>
    </row>
    <row r="172" customFormat="false" ht="15" hidden="false" customHeight="true" outlineLevel="0" collapsed="false">
      <c r="A172" s="61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6" t="str">
        <f aca="false">IF(COUNTA(B172:M172)=0,"",SUMPRODUCT((ISNUMBER(B172:M172))*B172:M172))</f>
        <v/>
      </c>
      <c r="O172" s="62"/>
    </row>
    <row r="173" customFormat="false" ht="15" hidden="false" customHeight="true" outlineLevel="0" collapsed="false">
      <c r="A173" s="59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3" t="str">
        <f aca="false">IF(COUNTA(B173:M173)=0,"",SUMPRODUCT((ISNUMBER(B173:M173))*B173:M173))</f>
        <v/>
      </c>
      <c r="O173" s="60"/>
    </row>
    <row r="174" customFormat="false" ht="15" hidden="false" customHeight="true" outlineLevel="0" collapsed="false">
      <c r="A174" s="61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6" t="str">
        <f aca="false">IF(COUNTA(B174:M174)=0,"",SUMPRODUCT((ISNUMBER(B174:M174))*B174:M174))</f>
        <v/>
      </c>
      <c r="O174" s="62"/>
    </row>
    <row r="175" customFormat="false" ht="15" hidden="false" customHeight="true" outlineLevel="0" collapsed="false">
      <c r="A175" s="59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3" t="str">
        <f aca="false">IF(COUNTA(B175:M175)=0,"",SUMPRODUCT((ISNUMBER(B175:M175))*B175:M175))</f>
        <v/>
      </c>
      <c r="O175" s="60"/>
    </row>
    <row r="176" customFormat="false" ht="15" hidden="false" customHeight="true" outlineLevel="0" collapsed="false">
      <c r="A176" s="61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6" t="str">
        <f aca="false">IF(COUNTA(B176:M176)=0,"",SUMPRODUCT((ISNUMBER(B176:M176))*B176:M176))</f>
        <v/>
      </c>
      <c r="O176" s="62"/>
    </row>
    <row r="177" customFormat="false" ht="15" hidden="false" customHeight="true" outlineLevel="0" collapsed="false">
      <c r="A177" s="59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3" t="str">
        <f aca="false">IF(COUNTA(B177:M177)=0,"",SUMPRODUCT((ISNUMBER(B177:M177))*B177:M177))</f>
        <v/>
      </c>
      <c r="O177" s="60"/>
    </row>
    <row r="178" customFormat="false" ht="15" hidden="false" customHeight="true" outlineLevel="0" collapsed="false">
      <c r="A178" s="61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6" t="str">
        <f aca="false">IF(COUNTA(B178:M178)=0,"",SUMPRODUCT((ISNUMBER(B178:M178))*B178:M178))</f>
        <v/>
      </c>
      <c r="O178" s="62"/>
    </row>
    <row r="179" customFormat="false" ht="15" hidden="false" customHeight="true" outlineLevel="0" collapsed="false">
      <c r="A179" s="59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3" t="str">
        <f aca="false">IF(COUNTA(B179:M179)=0,"",SUMPRODUCT((ISNUMBER(B179:M179))*B179:M179))</f>
        <v/>
      </c>
      <c r="O179" s="60"/>
    </row>
    <row r="180" customFormat="false" ht="15" hidden="false" customHeight="true" outlineLevel="0" collapsed="false">
      <c r="A180" s="61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6" t="str">
        <f aca="false">IF(COUNTA(B180:M180)=0,"",SUMPRODUCT((ISNUMBER(B180:M180))*B180:M180))</f>
        <v/>
      </c>
      <c r="O180" s="62"/>
    </row>
    <row r="181" customFormat="false" ht="15" hidden="false" customHeight="true" outlineLevel="0" collapsed="false">
      <c r="A181" s="59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3" t="str">
        <f aca="false">IF(COUNTA(B181:M181)=0,"",SUMPRODUCT((ISNUMBER(B181:M181))*B181:M181))</f>
        <v/>
      </c>
      <c r="O181" s="60"/>
    </row>
    <row r="182" customFormat="false" ht="15" hidden="false" customHeight="true" outlineLevel="0" collapsed="false">
      <c r="A182" s="61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6" t="str">
        <f aca="false">IF(COUNTA(B182:M182)=0,"",SUMPRODUCT((ISNUMBER(B182:M182))*B182:M182))</f>
        <v/>
      </c>
      <c r="O182" s="62"/>
    </row>
    <row r="183" customFormat="false" ht="15" hidden="false" customHeight="true" outlineLevel="0" collapsed="false">
      <c r="A183" s="59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3" t="str">
        <f aca="false">IF(COUNTA(B183:M183)=0,"",SUMPRODUCT((ISNUMBER(B183:M183))*B183:M183))</f>
        <v/>
      </c>
      <c r="O183" s="60"/>
    </row>
    <row r="184" customFormat="false" ht="15" hidden="false" customHeight="true" outlineLevel="0" collapsed="false">
      <c r="A184" s="61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6" t="str">
        <f aca="false">IF(COUNTA(B184:M184)=0,"",SUMPRODUCT((ISNUMBER(B184:M184))*B184:M184))</f>
        <v/>
      </c>
      <c r="O184" s="62"/>
    </row>
    <row r="185" customFormat="false" ht="15" hidden="false" customHeight="true" outlineLevel="0" collapsed="false">
      <c r="A185" s="59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3" t="str">
        <f aca="false">IF(COUNTA(B185:M185)=0,"",SUMPRODUCT((ISNUMBER(B185:M185))*B185:M185))</f>
        <v/>
      </c>
      <c r="O185" s="60"/>
    </row>
    <row r="186" customFormat="false" ht="15" hidden="false" customHeight="true" outlineLevel="0" collapsed="false">
      <c r="A186" s="61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6" t="str">
        <f aca="false">IF(COUNTA(B186:M186)=0,"",SUMPRODUCT((ISNUMBER(B186:M186))*B186:M186))</f>
        <v/>
      </c>
      <c r="O186" s="62"/>
    </row>
    <row r="187" customFormat="false" ht="15" hidden="false" customHeight="true" outlineLevel="0" collapsed="false">
      <c r="A187" s="59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3" t="str">
        <f aca="false">IF(COUNTA(B187:M187)=0,"",SUMPRODUCT((ISNUMBER(B187:M187))*B187:M187))</f>
        <v/>
      </c>
      <c r="O187" s="60"/>
    </row>
    <row r="188" customFormat="false" ht="15" hidden="false" customHeight="true" outlineLevel="0" collapsed="false">
      <c r="A188" s="61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6" t="str">
        <f aca="false">IF(COUNTA(B188:M188)=0,"",SUMPRODUCT((ISNUMBER(B188:M188))*B188:M188))</f>
        <v/>
      </c>
      <c r="O188" s="62"/>
    </row>
    <row r="189" customFormat="false" ht="15" hidden="false" customHeight="true" outlineLevel="0" collapsed="false">
      <c r="A189" s="59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3" t="str">
        <f aca="false">IF(COUNTA(B189:M189)=0,"",SUMPRODUCT((ISNUMBER(B189:M189))*B189:M189))</f>
        <v/>
      </c>
      <c r="O189" s="60"/>
    </row>
    <row r="190" customFormat="false" ht="15" hidden="false" customHeight="true" outlineLevel="0" collapsed="false">
      <c r="A190" s="61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6" t="str">
        <f aca="false">IF(COUNTA(B190:M190)=0,"",SUMPRODUCT((ISNUMBER(B190:M190))*B190:M190))</f>
        <v/>
      </c>
      <c r="O190" s="62"/>
    </row>
    <row r="191" customFormat="false" ht="15" hidden="false" customHeight="true" outlineLevel="0" collapsed="false">
      <c r="A191" s="59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3" t="str">
        <f aca="false">IF(COUNTA(B191:M191)=0,"",SUMPRODUCT((ISNUMBER(B191:M191))*B191:M191))</f>
        <v/>
      </c>
      <c r="O191" s="60"/>
    </row>
    <row r="192" customFormat="false" ht="15" hidden="false" customHeight="true" outlineLevel="0" collapsed="false">
      <c r="A192" s="61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6" t="str">
        <f aca="false">IF(COUNTA(B192:M192)=0,"",SUMPRODUCT((ISNUMBER(B192:M192))*B192:M192))</f>
        <v/>
      </c>
      <c r="O192" s="62"/>
    </row>
    <row r="193" customFormat="false" ht="15" hidden="false" customHeight="true" outlineLevel="0" collapsed="false">
      <c r="A193" s="59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3" t="str">
        <f aca="false">IF(COUNTA(B193:M193)=0,"",SUMPRODUCT((ISNUMBER(B193:M193))*B193:M193))</f>
        <v/>
      </c>
      <c r="O193" s="60"/>
    </row>
    <row r="194" customFormat="false" ht="15" hidden="false" customHeight="true" outlineLevel="0" collapsed="false">
      <c r="A194" s="61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6" t="str">
        <f aca="false">IF(COUNTA(B194:M194)=0,"",SUMPRODUCT((ISNUMBER(B194:M194))*B194:M194))</f>
        <v/>
      </c>
      <c r="O194" s="62"/>
    </row>
    <row r="195" customFormat="false" ht="15" hidden="false" customHeight="true" outlineLevel="0" collapsed="false">
      <c r="A195" s="59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3" t="str">
        <f aca="false">IF(COUNTA(B195:M195)=0,"",SUMPRODUCT((ISNUMBER(B195:M195))*B195:M195))</f>
        <v/>
      </c>
      <c r="O195" s="60"/>
    </row>
    <row r="196" customFormat="false" ht="15" hidden="false" customHeight="true" outlineLevel="0" collapsed="false">
      <c r="A196" s="61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6" t="str">
        <f aca="false">IF(COUNTA(B196:M196)=0,"",SUMPRODUCT((ISNUMBER(B196:M196))*B196:M196))</f>
        <v/>
      </c>
      <c r="O196" s="62"/>
    </row>
    <row r="197" customFormat="false" ht="15" hidden="false" customHeight="true" outlineLevel="0" collapsed="false">
      <c r="A197" s="59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3" t="str">
        <f aca="false">IF(COUNTA(B197:M197)=0,"",SUMPRODUCT((ISNUMBER(B197:M197))*B197:M197))</f>
        <v/>
      </c>
      <c r="O197" s="60"/>
    </row>
    <row r="198" customFormat="false" ht="15" hidden="false" customHeight="true" outlineLevel="0" collapsed="false">
      <c r="A198" s="61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6" t="str">
        <f aca="false">IF(COUNTA(B198:M198)=0,"",SUMPRODUCT((ISNUMBER(B198:M198))*B198:M198))</f>
        <v/>
      </c>
      <c r="O198" s="62"/>
    </row>
    <row r="199" customFormat="false" ht="15" hidden="false" customHeight="true" outlineLevel="0" collapsed="false">
      <c r="A199" s="59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3" t="str">
        <f aca="false">IF(COUNTA(B199:M199)=0,"",SUMPRODUCT((ISNUMBER(B199:M199))*B199:M199))</f>
        <v/>
      </c>
      <c r="O199" s="60"/>
    </row>
    <row r="200" customFormat="false" ht="15" hidden="false" customHeight="true" outlineLevel="0" collapsed="false">
      <c r="A200" s="61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6" t="str">
        <f aca="false">IF(COUNTA(B200:M200)=0,"",SUMPRODUCT((ISNUMBER(B200:M200))*B200:M200))</f>
        <v/>
      </c>
      <c r="O200" s="62"/>
    </row>
    <row r="201" customFormat="false" ht="15" hidden="false" customHeight="true" outlineLevel="0" collapsed="false">
      <c r="A201" s="59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3" t="str">
        <f aca="false">IF(COUNTA(B201:M201)=0,"",SUMPRODUCT((ISNUMBER(B201:M201))*B201:M201))</f>
        <v/>
      </c>
      <c r="O201" s="60"/>
    </row>
    <row r="202" customFormat="false" ht="15" hidden="false" customHeight="true" outlineLevel="0" collapsed="false">
      <c r="A202" s="61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6" t="str">
        <f aca="false">IF(COUNTA(B202:M202)=0,"",SUMPRODUCT((ISNUMBER(B202:M202))*B202:M202))</f>
        <v/>
      </c>
      <c r="O202" s="62"/>
    </row>
    <row r="203" customFormat="false" ht="15" hidden="false" customHeight="true" outlineLevel="0" collapsed="false">
      <c r="A203" s="59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3" t="str">
        <f aca="false">IF(COUNTA(B203:M203)=0,"",SUMPRODUCT((ISNUMBER(B203:M203))*B203:M203))</f>
        <v/>
      </c>
      <c r="O203" s="60"/>
    </row>
    <row r="204" customFormat="false" ht="15" hidden="false" customHeight="true" outlineLevel="0" collapsed="false">
      <c r="A204" s="61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6" t="str">
        <f aca="false">IF(COUNTA(B204:M204)=0,"",SUMPRODUCT((ISNUMBER(B204:M204))*B204:M204))</f>
        <v/>
      </c>
      <c r="O204" s="62"/>
    </row>
    <row r="205" customFormat="false" ht="15" hidden="false" customHeight="true" outlineLevel="0" collapsed="false">
      <c r="A205" s="59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3" t="str">
        <f aca="false">IF(COUNTA(B205:M205)=0,"",SUMPRODUCT((ISNUMBER(B205:M205))*B205:M205))</f>
        <v/>
      </c>
      <c r="O205" s="60"/>
    </row>
    <row r="206" customFormat="false" ht="15" hidden="false" customHeight="true" outlineLevel="0" collapsed="false">
      <c r="A206" s="61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6" t="str">
        <f aca="false">IF(COUNTA(B206:M206)=0,"",SUMPRODUCT((ISNUMBER(B206:M206))*B206:M206))</f>
        <v/>
      </c>
      <c r="O206" s="62"/>
    </row>
    <row r="207" customFormat="false" ht="15" hidden="false" customHeight="true" outlineLevel="0" collapsed="false">
      <c r="A207" s="59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3" t="str">
        <f aca="false">IF(COUNTA(B207:M207)=0,"",SUMPRODUCT((ISNUMBER(B207:M207))*B207:M207))</f>
        <v/>
      </c>
      <c r="O207" s="60"/>
    </row>
    <row r="208" customFormat="false" ht="15" hidden="false" customHeight="true" outlineLevel="0" collapsed="false">
      <c r="A208" s="61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6" t="str">
        <f aca="false">IF(COUNTA(B208:M208)=0,"",SUMPRODUCT((ISNUMBER(B208:M208))*B208:M208))</f>
        <v/>
      </c>
      <c r="O208" s="62"/>
    </row>
    <row r="209" customFormat="false" ht="15" hidden="false" customHeight="true" outlineLevel="0" collapsed="false">
      <c r="A209" s="59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3" t="str">
        <f aca="false">IF(COUNTA(B209:M209)=0,"",SUMPRODUCT((ISNUMBER(B209:M209))*B209:M209))</f>
        <v/>
      </c>
      <c r="O209" s="60"/>
    </row>
    <row r="210" customFormat="false" ht="15" hidden="false" customHeight="true" outlineLevel="0" collapsed="false">
      <c r="A210" s="61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6" t="str">
        <f aca="false">IF(COUNTA(B210:M210)=0,"",SUMPRODUCT((ISNUMBER(B210:M210))*B210:M210))</f>
        <v/>
      </c>
      <c r="O210" s="62"/>
    </row>
    <row r="211" customFormat="false" ht="15" hidden="false" customHeight="true" outlineLevel="0" collapsed="false">
      <c r="A211" s="59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3" t="str">
        <f aca="false">IF(COUNTA(B211:M211)=0,"",SUMPRODUCT((ISNUMBER(B211:M211))*B211:M211))</f>
        <v/>
      </c>
      <c r="O211" s="60"/>
    </row>
    <row r="212" customFormat="false" ht="15" hidden="false" customHeight="true" outlineLevel="0" collapsed="false">
      <c r="A212" s="61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6" t="str">
        <f aca="false">IF(COUNTA(B212:M212)=0,"",SUMPRODUCT((ISNUMBER(B212:M212))*B212:M212))</f>
        <v/>
      </c>
      <c r="O212" s="62"/>
    </row>
    <row r="213" customFormat="false" ht="15" hidden="false" customHeight="true" outlineLevel="0" collapsed="false">
      <c r="A213" s="59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3" t="str">
        <f aca="false">IF(COUNTA(B213:M213)=0,"",SUMPRODUCT((ISNUMBER(B213:M213))*B213:M213))</f>
        <v/>
      </c>
      <c r="O213" s="60"/>
    </row>
    <row r="214" customFormat="false" ht="15" hidden="false" customHeight="true" outlineLevel="0" collapsed="false">
      <c r="A214" s="61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6" t="str">
        <f aca="false">IF(COUNTA(B214:M214)=0,"",SUMPRODUCT((ISNUMBER(B214:M214))*B214:M214))</f>
        <v/>
      </c>
      <c r="O214" s="62"/>
    </row>
    <row r="215" customFormat="false" ht="15" hidden="false" customHeight="true" outlineLevel="0" collapsed="false">
      <c r="A215" s="59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3" t="str">
        <f aca="false">IF(COUNTA(B215:M215)=0,"",SUMPRODUCT((ISNUMBER(B215:M215))*B215:M215))</f>
        <v/>
      </c>
      <c r="O215" s="60"/>
    </row>
    <row r="216" customFormat="false" ht="15" hidden="false" customHeight="true" outlineLevel="0" collapsed="false">
      <c r="A216" s="61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6" t="str">
        <f aca="false">IF(COUNTA(B216:M216)=0,"",SUMPRODUCT((ISNUMBER(B216:M216))*B216:M216))</f>
        <v/>
      </c>
      <c r="O216" s="62"/>
    </row>
    <row r="217" customFormat="false" ht="15" hidden="false" customHeight="true" outlineLevel="0" collapsed="false">
      <c r="A217" s="59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3" t="str">
        <f aca="false">IF(COUNTA(B217:M217)=0,"",SUMPRODUCT((ISNUMBER(B217:M217))*B217:M217))</f>
        <v/>
      </c>
      <c r="O217" s="60"/>
    </row>
    <row r="218" customFormat="false" ht="15" hidden="false" customHeight="true" outlineLevel="0" collapsed="false">
      <c r="A218" s="61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6" t="str">
        <f aca="false">IF(COUNTA(B218:M218)=0,"",SUMPRODUCT((ISNUMBER(B218:M218))*B218:M218))</f>
        <v/>
      </c>
      <c r="O218" s="62"/>
    </row>
    <row r="219" customFormat="false" ht="15" hidden="false" customHeight="true" outlineLevel="0" collapsed="false">
      <c r="A219" s="59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3" t="str">
        <f aca="false">IF(COUNTA(B219:M219)=0,"",SUMPRODUCT((ISNUMBER(B219:M219))*B219:M219))</f>
        <v/>
      </c>
      <c r="O219" s="60"/>
    </row>
    <row r="220" customFormat="false" ht="15" hidden="false" customHeight="true" outlineLevel="0" collapsed="false">
      <c r="A220" s="61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6" t="str">
        <f aca="false">IF(COUNTA(B220:M220)=0,"",SUMPRODUCT((ISNUMBER(B220:M220))*B220:M220))</f>
        <v/>
      </c>
      <c r="O220" s="62"/>
    </row>
    <row r="221" customFormat="false" ht="15" hidden="false" customHeight="true" outlineLevel="0" collapsed="false">
      <c r="A221" s="59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3" t="str">
        <f aca="false">IF(COUNTA(B221:M221)=0,"",SUMPRODUCT((ISNUMBER(B221:M221))*B221:M221))</f>
        <v/>
      </c>
      <c r="O221" s="60"/>
    </row>
    <row r="222" customFormat="false" ht="15" hidden="false" customHeight="true" outlineLevel="0" collapsed="false">
      <c r="A222" s="61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6" t="str">
        <f aca="false">IF(COUNTA(B222:M222)=0,"",SUMPRODUCT((ISNUMBER(B222:M222))*B222:M222))</f>
        <v/>
      </c>
      <c r="O222" s="62"/>
    </row>
    <row r="223" customFormat="false" ht="15" hidden="false" customHeight="true" outlineLevel="0" collapsed="false">
      <c r="A223" s="59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3" t="str">
        <f aca="false">IF(COUNTA(B223:M223)=0,"",SUMPRODUCT((ISNUMBER(B223:M223))*B223:M223))</f>
        <v/>
      </c>
      <c r="O223" s="60"/>
    </row>
    <row r="224" customFormat="false" ht="15" hidden="false" customHeight="true" outlineLevel="0" collapsed="false">
      <c r="A224" s="61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6" t="str">
        <f aca="false">IF(COUNTA(B224:M224)=0,"",SUMPRODUCT((ISNUMBER(B224:M224))*B224:M224))</f>
        <v/>
      </c>
      <c r="O224" s="62"/>
    </row>
    <row r="225" customFormat="false" ht="15" hidden="false" customHeight="true" outlineLevel="0" collapsed="false">
      <c r="A225" s="59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3" t="str">
        <f aca="false">IF(COUNTA(B225:M225)=0,"",SUMPRODUCT((ISNUMBER(B225:M225))*B225:M225))</f>
        <v/>
      </c>
      <c r="O225" s="60"/>
    </row>
    <row r="226" customFormat="false" ht="15" hidden="false" customHeight="true" outlineLevel="0" collapsed="false">
      <c r="A226" s="61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6" t="str">
        <f aca="false">IF(COUNTA(B226:M226)=0,"",SUMPRODUCT((ISNUMBER(B226:M226))*B226:M226))</f>
        <v/>
      </c>
      <c r="O226" s="62"/>
    </row>
    <row r="227" customFormat="false" ht="15" hidden="false" customHeight="true" outlineLevel="0" collapsed="false">
      <c r="A227" s="59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3" t="str">
        <f aca="false">IF(COUNTA(B227:M227)=0,"",SUMPRODUCT((ISNUMBER(B227:M227))*B227:M227))</f>
        <v/>
      </c>
      <c r="O227" s="60"/>
    </row>
    <row r="228" customFormat="false" ht="15" hidden="false" customHeight="true" outlineLevel="0" collapsed="false">
      <c r="A228" s="61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6" t="str">
        <f aca="false">IF(COUNTA(B228:M228)=0,"",SUMPRODUCT((ISNUMBER(B228:M228))*B228:M228))</f>
        <v/>
      </c>
      <c r="O228" s="62"/>
    </row>
    <row r="229" customFormat="false" ht="15" hidden="false" customHeight="true" outlineLevel="0" collapsed="false">
      <c r="A229" s="59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3" t="str">
        <f aca="false">IF(COUNTA(B229:M229)=0,"",SUMPRODUCT((ISNUMBER(B229:M229))*B229:M229))</f>
        <v/>
      </c>
      <c r="O229" s="60"/>
    </row>
    <row r="230" customFormat="false" ht="15" hidden="false" customHeight="true" outlineLevel="0" collapsed="false">
      <c r="A230" s="61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6" t="str">
        <f aca="false">IF(COUNTA(B230:M230)=0,"",SUMPRODUCT((ISNUMBER(B230:M230))*B230:M230))</f>
        <v/>
      </c>
      <c r="O230" s="62"/>
    </row>
    <row r="231" customFormat="false" ht="15" hidden="false" customHeight="true" outlineLevel="0" collapsed="false">
      <c r="A231" s="59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3" t="str">
        <f aca="false">IF(COUNTA(B231:M231)=0,"",SUMPRODUCT((ISNUMBER(B231:M231))*B231:M231))</f>
        <v/>
      </c>
      <c r="O231" s="60"/>
    </row>
    <row r="232" customFormat="false" ht="15" hidden="false" customHeight="true" outlineLevel="0" collapsed="false">
      <c r="A232" s="61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6" t="str">
        <f aca="false">IF(COUNTA(B232:M232)=0,"",SUMPRODUCT((ISNUMBER(B232:M232))*B232:M232))</f>
        <v/>
      </c>
      <c r="O232" s="62"/>
    </row>
    <row r="233" customFormat="false" ht="15" hidden="false" customHeight="true" outlineLevel="0" collapsed="false">
      <c r="A233" s="59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3" t="str">
        <f aca="false">IF(COUNTA(B233:M233)=0,"",SUMPRODUCT((ISNUMBER(B233:M233))*B233:M233))</f>
        <v/>
      </c>
      <c r="O233" s="60"/>
    </row>
    <row r="234" customFormat="false" ht="15" hidden="false" customHeight="true" outlineLevel="0" collapsed="false">
      <c r="A234" s="61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6" t="str">
        <f aca="false">IF(COUNTA(B234:M234)=0,"",SUMPRODUCT((ISNUMBER(B234:M234))*B234:M234))</f>
        <v/>
      </c>
      <c r="O234" s="62"/>
    </row>
    <row r="235" customFormat="false" ht="15" hidden="false" customHeight="true" outlineLevel="0" collapsed="false">
      <c r="A235" s="59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3" t="str">
        <f aca="false">IF(COUNTA(B235:M235)=0,"",SUMPRODUCT((ISNUMBER(B235:M235))*B235:M235))</f>
        <v/>
      </c>
      <c r="O235" s="60"/>
    </row>
    <row r="236" customFormat="false" ht="15" hidden="false" customHeight="true" outlineLevel="0" collapsed="false">
      <c r="A236" s="61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6" t="str">
        <f aca="false">IF(COUNTA(B236:M236)=0,"",SUMPRODUCT((ISNUMBER(B236:M236))*B236:M236))</f>
        <v/>
      </c>
      <c r="O236" s="62"/>
    </row>
    <row r="237" customFormat="false" ht="15" hidden="false" customHeight="true" outlineLevel="0" collapsed="false">
      <c r="A237" s="59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3" t="str">
        <f aca="false">IF(COUNTA(B237:M237)=0,"",SUMPRODUCT((ISNUMBER(B237:M237))*B237:M237))</f>
        <v/>
      </c>
      <c r="O237" s="60"/>
    </row>
    <row r="238" customFormat="false" ht="15" hidden="false" customHeight="true" outlineLevel="0" collapsed="false">
      <c r="A238" s="61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6" t="str">
        <f aca="false">IF(COUNTA(B238:M238)=0,"",SUMPRODUCT((ISNUMBER(B238:M238))*B238:M238))</f>
        <v/>
      </c>
      <c r="O238" s="62"/>
    </row>
    <row r="239" customFormat="false" ht="15" hidden="false" customHeight="true" outlineLevel="0" collapsed="false">
      <c r="A239" s="59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3" t="str">
        <f aca="false">IF(COUNTA(B239:M239)=0,"",SUMPRODUCT((ISNUMBER(B239:M239))*B239:M239))</f>
        <v/>
      </c>
      <c r="O239" s="60"/>
    </row>
    <row r="240" customFormat="false" ht="15" hidden="false" customHeight="true" outlineLevel="0" collapsed="false">
      <c r="A240" s="61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6" t="str">
        <f aca="false">IF(COUNTA(B240:M240)=0,"",SUMPRODUCT((ISNUMBER(B240:M240))*B240:M240))</f>
        <v/>
      </c>
      <c r="O240" s="62"/>
    </row>
    <row r="241" customFormat="false" ht="15" hidden="false" customHeight="true" outlineLevel="0" collapsed="false">
      <c r="A241" s="59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3" t="str">
        <f aca="false">IF(COUNTA(B241:M241)=0,"",SUMPRODUCT((ISNUMBER(B241:M241))*B241:M241))</f>
        <v/>
      </c>
      <c r="O241" s="60"/>
    </row>
    <row r="242" customFormat="false" ht="15" hidden="false" customHeight="true" outlineLevel="0" collapsed="false">
      <c r="A242" s="61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6" t="str">
        <f aca="false">IF(COUNTA(B242:M242)=0,"",SUMPRODUCT((ISNUMBER(B242:M242))*B242:M242))</f>
        <v/>
      </c>
      <c r="O242" s="62"/>
    </row>
    <row r="243" customFormat="false" ht="15" hidden="false" customHeight="true" outlineLevel="0" collapsed="false">
      <c r="A243" s="59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3" t="str">
        <f aca="false">IF(COUNTA(B243:M243)=0,"",SUMPRODUCT((ISNUMBER(B243:M243))*B243:M243))</f>
        <v/>
      </c>
      <c r="O243" s="60"/>
    </row>
    <row r="244" customFormat="false" ht="15" hidden="false" customHeight="true" outlineLevel="0" collapsed="false">
      <c r="A244" s="61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6" t="str">
        <f aca="false">IF(COUNTA(B244:M244)=0,"",SUMPRODUCT((ISNUMBER(B244:M244))*B244:M244))</f>
        <v/>
      </c>
      <c r="O244" s="62"/>
    </row>
    <row r="245" customFormat="false" ht="15" hidden="false" customHeight="true" outlineLevel="0" collapsed="false">
      <c r="A245" s="59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3" t="str">
        <f aca="false">IF(COUNTA(B245:M245)=0,"",SUMPRODUCT((ISNUMBER(B245:M245))*B245:M245))</f>
        <v/>
      </c>
      <c r="O245" s="60"/>
    </row>
    <row r="246" customFormat="false" ht="15" hidden="false" customHeight="true" outlineLevel="0" collapsed="false">
      <c r="A246" s="61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6" t="str">
        <f aca="false">IF(COUNTA(B246:M246)=0,"",SUMPRODUCT((ISNUMBER(B246:M246))*B246:M246))</f>
        <v/>
      </c>
      <c r="O246" s="62"/>
    </row>
    <row r="247" customFormat="false" ht="15" hidden="false" customHeight="true" outlineLevel="0" collapsed="false">
      <c r="A247" s="59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3" t="str">
        <f aca="false">IF(COUNTA(B247:M247)=0,"",SUMPRODUCT((ISNUMBER(B247:M247))*B247:M247))</f>
        <v/>
      </c>
      <c r="O247" s="60"/>
    </row>
    <row r="248" customFormat="false" ht="15" hidden="false" customHeight="true" outlineLevel="0" collapsed="false">
      <c r="A248" s="61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6" t="str">
        <f aca="false">IF(COUNTA(B248:M248)=0,"",SUMPRODUCT((ISNUMBER(B248:M248))*B248:M248))</f>
        <v/>
      </c>
      <c r="O248" s="62"/>
    </row>
    <row r="249" customFormat="false" ht="15" hidden="false" customHeight="true" outlineLevel="0" collapsed="false">
      <c r="A249" s="59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3" t="str">
        <f aca="false">IF(COUNTA(B249:M249)=0,"",SUMPRODUCT((ISNUMBER(B249:M249))*B249:M249))</f>
        <v/>
      </c>
      <c r="O249" s="60"/>
    </row>
    <row r="250" customFormat="false" ht="15" hidden="false" customHeight="true" outlineLevel="0" collapsed="false">
      <c r="A250" s="61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6" t="str">
        <f aca="false">IF(COUNTA(B250:M250)=0,"",SUMPRODUCT((ISNUMBER(B250:M250))*B250:M250))</f>
        <v/>
      </c>
      <c r="O250" s="62"/>
    </row>
    <row r="251" customFormat="false" ht="15" hidden="false" customHeight="true" outlineLevel="0" collapsed="false">
      <c r="A251" s="59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3" t="str">
        <f aca="false">IF(COUNTA(B251:M251)=0,"",SUMPRODUCT((ISNUMBER(B251:M251))*B251:M251))</f>
        <v/>
      </c>
      <c r="O251" s="60"/>
    </row>
    <row r="252" customFormat="false" ht="15" hidden="false" customHeight="true" outlineLevel="0" collapsed="false">
      <c r="A252" s="61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6" t="str">
        <f aca="false">IF(COUNTA(B252:M252)=0,"",SUMPRODUCT((ISNUMBER(B252:M252))*B252:M252))</f>
        <v/>
      </c>
      <c r="O252" s="62"/>
    </row>
    <row r="253" customFormat="false" ht="15" hidden="false" customHeight="true" outlineLevel="0" collapsed="false">
      <c r="A253" s="59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3" t="str">
        <f aca="false">IF(COUNTA(B253:M253)=0,"",SUMPRODUCT((ISNUMBER(B253:M253))*B253:M253))</f>
        <v/>
      </c>
      <c r="O253" s="60"/>
    </row>
    <row r="254" customFormat="false" ht="15" hidden="false" customHeight="true" outlineLevel="0" collapsed="false">
      <c r="A254" s="61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6" t="str">
        <f aca="false">IF(COUNTA(B254:M254)=0,"",SUMPRODUCT((ISNUMBER(B254:M254))*B254:M254))</f>
        <v/>
      </c>
      <c r="O254" s="62"/>
    </row>
    <row r="255" customFormat="false" ht="15" hidden="false" customHeight="true" outlineLevel="0" collapsed="false">
      <c r="A255" s="59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3" t="str">
        <f aca="false">IF(COUNTA(B255:M255)=0,"",SUMPRODUCT((ISNUMBER(B255:M255))*B255:M255))</f>
        <v/>
      </c>
      <c r="O255" s="60"/>
    </row>
    <row r="256" customFormat="false" ht="15" hidden="false" customHeight="true" outlineLevel="0" collapsed="false">
      <c r="A256" s="61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6" t="str">
        <f aca="false">IF(COUNTA(B256:M256)=0,"",SUMPRODUCT((ISNUMBER(B256:M256))*B256:M256))</f>
        <v/>
      </c>
      <c r="O256" s="62"/>
    </row>
    <row r="257" customFormat="false" ht="15" hidden="false" customHeight="true" outlineLevel="0" collapsed="false">
      <c r="A257" s="59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3" t="str">
        <f aca="false">IF(COUNTA(B257:M257)=0,"",SUMPRODUCT((ISNUMBER(B257:M257))*B257:M257))</f>
        <v/>
      </c>
      <c r="O257" s="60"/>
    </row>
    <row r="258" customFormat="false" ht="15" hidden="false" customHeight="true" outlineLevel="0" collapsed="false">
      <c r="A258" s="61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6" t="str">
        <f aca="false">IF(COUNTA(B258:M258)=0,"",SUMPRODUCT((ISNUMBER(B258:M258))*B258:M258))</f>
        <v/>
      </c>
      <c r="O258" s="62"/>
    </row>
    <row r="259" customFormat="false" ht="15" hidden="false" customHeight="true" outlineLevel="0" collapsed="false">
      <c r="A259" s="59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3" t="str">
        <f aca="false">IF(COUNTA(B259:M259)=0,"",SUMPRODUCT((ISNUMBER(B259:M259))*B259:M259))</f>
        <v/>
      </c>
      <c r="O259" s="60"/>
    </row>
    <row r="260" customFormat="false" ht="15" hidden="false" customHeight="true" outlineLevel="0" collapsed="false">
      <c r="A260" s="61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6" t="str">
        <f aca="false">IF(COUNTA(B260:M260)=0,"",SUMPRODUCT((ISNUMBER(B260:M260))*B260:M260))</f>
        <v/>
      </c>
      <c r="O260" s="62"/>
    </row>
    <row r="261" customFormat="false" ht="15" hidden="false" customHeight="true" outlineLevel="0" collapsed="false">
      <c r="A261" s="59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3" t="str">
        <f aca="false">IF(COUNTA(B261:M261)=0,"",SUMPRODUCT((ISNUMBER(B261:M261))*B261:M261))</f>
        <v/>
      </c>
      <c r="O261" s="60"/>
    </row>
    <row r="262" customFormat="false" ht="15" hidden="false" customHeight="true" outlineLevel="0" collapsed="false">
      <c r="A262" s="61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6" t="str">
        <f aca="false">IF(COUNTA(B262:M262)=0,"",SUMPRODUCT((ISNUMBER(B262:M262))*B262:M262))</f>
        <v/>
      </c>
      <c r="O262" s="62"/>
    </row>
    <row r="263" customFormat="false" ht="15" hidden="false" customHeight="true" outlineLevel="0" collapsed="false">
      <c r="A263" s="59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3" t="str">
        <f aca="false">IF(COUNTA(B263:M263)=0,"",SUMPRODUCT((ISNUMBER(B263:M263))*B263:M263))</f>
        <v/>
      </c>
      <c r="O263" s="60"/>
    </row>
    <row r="264" customFormat="false" ht="15" hidden="false" customHeight="true" outlineLevel="0" collapsed="false">
      <c r="A264" s="61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6" t="str">
        <f aca="false">IF(COUNTA(B264:M264)=0,"",SUMPRODUCT((ISNUMBER(B264:M264))*B264:M264))</f>
        <v/>
      </c>
      <c r="O264" s="62"/>
    </row>
    <row r="265" customFormat="false" ht="15" hidden="false" customHeight="true" outlineLevel="0" collapsed="false">
      <c r="A265" s="59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3" t="str">
        <f aca="false">IF(COUNTA(B265:M265)=0,"",SUMPRODUCT((ISNUMBER(B265:M265))*B265:M265))</f>
        <v/>
      </c>
      <c r="O265" s="60"/>
    </row>
    <row r="266" customFormat="false" ht="15" hidden="false" customHeight="true" outlineLevel="0" collapsed="false">
      <c r="A266" s="61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6" t="str">
        <f aca="false">IF(COUNTA(B266:M266)=0,"",SUMPRODUCT((ISNUMBER(B266:M266))*B266:M266))</f>
        <v/>
      </c>
      <c r="O266" s="62"/>
    </row>
    <row r="267" customFormat="false" ht="15" hidden="false" customHeight="true" outlineLevel="0" collapsed="false">
      <c r="A267" s="59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3" t="str">
        <f aca="false">IF(COUNTA(B267:M267)=0,"",SUMPRODUCT((ISNUMBER(B267:M267))*B267:M267))</f>
        <v/>
      </c>
      <c r="O267" s="60"/>
    </row>
    <row r="268" customFormat="false" ht="15" hidden="false" customHeight="true" outlineLevel="0" collapsed="false">
      <c r="A268" s="61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6" t="str">
        <f aca="false">IF(COUNTA(B268:M268)=0,"",SUMPRODUCT((ISNUMBER(B268:M268))*B268:M268))</f>
        <v/>
      </c>
      <c r="O268" s="62"/>
    </row>
    <row r="269" customFormat="false" ht="15" hidden="false" customHeight="true" outlineLevel="0" collapsed="false">
      <c r="A269" s="59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3" t="str">
        <f aca="false">IF(COUNTA(B269:M269)=0,"",SUMPRODUCT((ISNUMBER(B269:M269))*B269:M269))</f>
        <v/>
      </c>
      <c r="O269" s="60"/>
    </row>
    <row r="270" customFormat="false" ht="15" hidden="false" customHeight="true" outlineLevel="0" collapsed="false">
      <c r="A270" s="61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6" t="str">
        <f aca="false">IF(COUNTA(B270:M270)=0,"",SUMPRODUCT((ISNUMBER(B270:M270))*B270:M270))</f>
        <v/>
      </c>
      <c r="O270" s="62"/>
    </row>
    <row r="271" customFormat="false" ht="15" hidden="false" customHeight="true" outlineLevel="0" collapsed="false">
      <c r="A271" s="59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3" t="str">
        <f aca="false">IF(COUNTA(B271:M271)=0,"",SUMPRODUCT((ISNUMBER(B271:M271))*B271:M271))</f>
        <v/>
      </c>
      <c r="O271" s="60"/>
    </row>
    <row r="272" customFormat="false" ht="15" hidden="false" customHeight="true" outlineLevel="0" collapsed="false">
      <c r="A272" s="61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6" t="str">
        <f aca="false">IF(COUNTA(B272:M272)=0,"",SUMPRODUCT((ISNUMBER(B272:M272))*B272:M272))</f>
        <v/>
      </c>
      <c r="O272" s="62"/>
    </row>
    <row r="273" customFormat="false" ht="15" hidden="false" customHeight="true" outlineLevel="0" collapsed="false">
      <c r="A273" s="59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3" t="str">
        <f aca="false">IF(COUNTA(B273:M273)=0,"",SUMPRODUCT((ISNUMBER(B273:M273))*B273:M273))</f>
        <v/>
      </c>
      <c r="O273" s="60"/>
    </row>
    <row r="274" customFormat="false" ht="15" hidden="false" customHeight="true" outlineLevel="0" collapsed="false">
      <c r="A274" s="61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6" t="str">
        <f aca="false">IF(COUNTA(B274:M274)=0,"",SUMPRODUCT((ISNUMBER(B274:M274))*B274:M274))</f>
        <v/>
      </c>
      <c r="O274" s="62"/>
    </row>
    <row r="275" customFormat="false" ht="15" hidden="false" customHeight="true" outlineLevel="0" collapsed="false">
      <c r="A275" s="59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3" t="str">
        <f aca="false">IF(COUNTA(B275:M275)=0,"",SUMPRODUCT((ISNUMBER(B275:M275))*B275:M275))</f>
        <v/>
      </c>
      <c r="O275" s="60"/>
    </row>
    <row r="276" customFormat="false" ht="15" hidden="false" customHeight="true" outlineLevel="0" collapsed="false">
      <c r="A276" s="61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6" t="str">
        <f aca="false">IF(COUNTA(B276:M276)=0,"",SUMPRODUCT((ISNUMBER(B276:M276))*B276:M276))</f>
        <v/>
      </c>
      <c r="O276" s="62"/>
    </row>
    <row r="277" customFormat="false" ht="15" hidden="false" customHeight="true" outlineLevel="0" collapsed="false">
      <c r="A277" s="59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3" t="str">
        <f aca="false">IF(COUNTA(B277:M277)=0,"",SUMPRODUCT((ISNUMBER(B277:M277))*B277:M277))</f>
        <v/>
      </c>
      <c r="O277" s="60"/>
    </row>
    <row r="278" customFormat="false" ht="15" hidden="false" customHeight="true" outlineLevel="0" collapsed="false">
      <c r="A278" s="61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6" t="str">
        <f aca="false">IF(COUNTA(B278:M278)=0,"",SUMPRODUCT((ISNUMBER(B278:M278))*B278:M278))</f>
        <v/>
      </c>
      <c r="O278" s="62"/>
    </row>
    <row r="279" customFormat="false" ht="15" hidden="false" customHeight="true" outlineLevel="0" collapsed="false">
      <c r="A279" s="59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3" t="str">
        <f aca="false">IF(COUNTA(B279:M279)=0,"",SUMPRODUCT((ISNUMBER(B279:M279))*B279:M279))</f>
        <v/>
      </c>
      <c r="O279" s="60"/>
    </row>
    <row r="280" customFormat="false" ht="15" hidden="false" customHeight="true" outlineLevel="0" collapsed="false">
      <c r="A280" s="61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6" t="str">
        <f aca="false">IF(COUNTA(B280:M280)=0,"",SUMPRODUCT((ISNUMBER(B280:M280))*B280:M280))</f>
        <v/>
      </c>
      <c r="O280" s="62"/>
    </row>
    <row r="281" customFormat="false" ht="15" hidden="false" customHeight="true" outlineLevel="0" collapsed="false">
      <c r="A281" s="59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3" t="str">
        <f aca="false">IF(COUNTA(B281:M281)=0,"",SUMPRODUCT((ISNUMBER(B281:M281))*B281:M281))</f>
        <v/>
      </c>
      <c r="O281" s="60"/>
    </row>
    <row r="282" customFormat="false" ht="15" hidden="false" customHeight="true" outlineLevel="0" collapsed="false">
      <c r="A282" s="61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6" t="str">
        <f aca="false">IF(COUNTA(B282:M282)=0,"",SUMPRODUCT((ISNUMBER(B282:M282))*B282:M282))</f>
        <v/>
      </c>
      <c r="O282" s="62"/>
    </row>
    <row r="283" customFormat="false" ht="15" hidden="false" customHeight="true" outlineLevel="0" collapsed="false">
      <c r="A283" s="59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3" t="str">
        <f aca="false">IF(COUNTA(B283:M283)=0,"",SUMPRODUCT((ISNUMBER(B283:M283))*B283:M283))</f>
        <v/>
      </c>
      <c r="O283" s="60"/>
    </row>
    <row r="284" customFormat="false" ht="15" hidden="false" customHeight="true" outlineLevel="0" collapsed="false">
      <c r="A284" s="61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6" t="str">
        <f aca="false">IF(COUNTA(B284:M284)=0,"",SUMPRODUCT((ISNUMBER(B284:M284))*B284:M284))</f>
        <v/>
      </c>
      <c r="O284" s="62"/>
    </row>
    <row r="285" customFormat="false" ht="15" hidden="false" customHeight="true" outlineLevel="0" collapsed="false">
      <c r="A285" s="59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3" t="str">
        <f aca="false">IF(COUNTA(B285:M285)=0,"",SUMPRODUCT((ISNUMBER(B285:M285))*B285:M285))</f>
        <v/>
      </c>
      <c r="O285" s="60"/>
    </row>
    <row r="286" customFormat="false" ht="15" hidden="false" customHeight="true" outlineLevel="0" collapsed="false">
      <c r="A286" s="61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6" t="str">
        <f aca="false">IF(COUNTA(B286:M286)=0,"",SUMPRODUCT((ISNUMBER(B286:M286))*B286:M286))</f>
        <v/>
      </c>
      <c r="O286" s="62"/>
    </row>
    <row r="287" customFormat="false" ht="15" hidden="false" customHeight="true" outlineLevel="0" collapsed="false">
      <c r="A287" s="59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3" t="str">
        <f aca="false">IF(COUNTA(B287:M287)=0,"",SUMPRODUCT((ISNUMBER(B287:M287))*B287:M287))</f>
        <v/>
      </c>
      <c r="O287" s="60"/>
    </row>
    <row r="288" customFormat="false" ht="15" hidden="false" customHeight="true" outlineLevel="0" collapsed="false">
      <c r="A288" s="61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6" t="str">
        <f aca="false">IF(COUNTA(B288:M288)=0,"",SUMPRODUCT((ISNUMBER(B288:M288))*B288:M288))</f>
        <v/>
      </c>
      <c r="O288" s="62"/>
    </row>
    <row r="289" customFormat="false" ht="15" hidden="false" customHeight="true" outlineLevel="0" collapsed="false">
      <c r="A289" s="59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3" t="str">
        <f aca="false">IF(COUNTA(B289:M289)=0,"",SUMPRODUCT((ISNUMBER(B289:M289))*B289:M289))</f>
        <v/>
      </c>
      <c r="O289" s="60"/>
    </row>
    <row r="290" customFormat="false" ht="15" hidden="false" customHeight="true" outlineLevel="0" collapsed="false">
      <c r="A290" s="61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6" t="str">
        <f aca="false">IF(COUNTA(B290:M290)=0,"",SUMPRODUCT((ISNUMBER(B290:M290))*B290:M290))</f>
        <v/>
      </c>
      <c r="O290" s="62"/>
    </row>
    <row r="291" customFormat="false" ht="15" hidden="false" customHeight="true" outlineLevel="0" collapsed="false">
      <c r="A291" s="59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3" t="str">
        <f aca="false">IF(COUNTA(B291:M291)=0,"",SUMPRODUCT((ISNUMBER(B291:M291))*B291:M291))</f>
        <v/>
      </c>
      <c r="O291" s="60"/>
    </row>
    <row r="292" customFormat="false" ht="15" hidden="false" customHeight="true" outlineLevel="0" collapsed="false">
      <c r="A292" s="61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6" t="str">
        <f aca="false">IF(COUNTA(B292:M292)=0,"",SUMPRODUCT((ISNUMBER(B292:M292))*B292:M292))</f>
        <v/>
      </c>
      <c r="O292" s="62"/>
    </row>
    <row r="293" customFormat="false" ht="15" hidden="false" customHeight="true" outlineLevel="0" collapsed="false">
      <c r="A293" s="59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3" t="str">
        <f aca="false">IF(COUNTA(B293:M293)=0,"",SUMPRODUCT((ISNUMBER(B293:M293))*B293:M293))</f>
        <v/>
      </c>
      <c r="O293" s="60"/>
    </row>
    <row r="294" customFormat="false" ht="15" hidden="false" customHeight="true" outlineLevel="0" collapsed="false">
      <c r="A294" s="61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6" t="str">
        <f aca="false">IF(COUNTA(B294:M294)=0,"",SUMPRODUCT((ISNUMBER(B294:M294))*B294:M294))</f>
        <v/>
      </c>
      <c r="O294" s="62"/>
    </row>
    <row r="295" customFormat="false" ht="15" hidden="false" customHeight="true" outlineLevel="0" collapsed="false">
      <c r="A295" s="59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3" t="str">
        <f aca="false">IF(COUNTA(B295:M295)=0,"",SUMPRODUCT((ISNUMBER(B295:M295))*B295:M295))</f>
        <v/>
      </c>
      <c r="O295" s="60"/>
    </row>
    <row r="296" customFormat="false" ht="15" hidden="false" customHeight="true" outlineLevel="0" collapsed="false">
      <c r="A296" s="61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6" t="str">
        <f aca="false">IF(COUNTA(B296:M296)=0,"",SUMPRODUCT((ISNUMBER(B296:M296))*B296:M296))</f>
        <v/>
      </c>
      <c r="O296" s="62"/>
    </row>
    <row r="297" customFormat="false" ht="15" hidden="false" customHeight="true" outlineLevel="0" collapsed="false">
      <c r="A297" s="59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3" t="str">
        <f aca="false">IF(COUNTA(B297:M297)=0,"",SUMPRODUCT((ISNUMBER(B297:M297))*B297:M297))</f>
        <v/>
      </c>
      <c r="O297" s="60"/>
    </row>
    <row r="298" customFormat="false" ht="15" hidden="false" customHeight="true" outlineLevel="0" collapsed="false">
      <c r="A298" s="61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6" t="str">
        <f aca="false">IF(COUNTA(B298:M298)=0,"",SUMPRODUCT((ISNUMBER(B298:M298))*B298:M298))</f>
        <v/>
      </c>
      <c r="O298" s="62"/>
    </row>
    <row r="299" customFormat="false" ht="15" hidden="false" customHeight="true" outlineLevel="0" collapsed="false">
      <c r="A299" s="59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3" t="str">
        <f aca="false">IF(COUNTA(B299:M299)=0,"",SUMPRODUCT((ISNUMBER(B299:M299))*B299:M299))</f>
        <v/>
      </c>
      <c r="O299" s="60"/>
    </row>
    <row r="300" customFormat="false" ht="15" hidden="false" customHeight="true" outlineLevel="0" collapsed="false">
      <c r="A300" s="61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6" t="str">
        <f aca="false">IF(COUNTA(B300:M300)=0,"",SUMPRODUCT((ISNUMBER(B300:M300))*B300:M300))</f>
        <v/>
      </c>
      <c r="O300" s="62"/>
    </row>
    <row r="301" customFormat="false" ht="15" hidden="false" customHeight="true" outlineLevel="0" collapsed="false">
      <c r="A301" s="59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3" t="str">
        <f aca="false">IF(COUNTA(B301:M301)=0,"",SUMPRODUCT((ISNUMBER(B301:M301))*B301:M301))</f>
        <v/>
      </c>
      <c r="O301" s="60"/>
    </row>
    <row r="302" customFormat="false" ht="15" hidden="false" customHeight="true" outlineLevel="0" collapsed="false">
      <c r="A302" s="61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6" t="str">
        <f aca="false">IF(COUNTA(B302:M302)=0,"",SUMPRODUCT((ISNUMBER(B302:M302))*B302:M302))</f>
        <v/>
      </c>
      <c r="O302" s="62"/>
    </row>
    <row r="303" customFormat="false" ht="15" hidden="false" customHeight="true" outlineLevel="0" collapsed="false">
      <c r="A303" s="59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3" t="str">
        <f aca="false">IF(COUNTA(B303:M303)=0,"",SUMPRODUCT((ISNUMBER(B303:M303))*B303:M303))</f>
        <v/>
      </c>
      <c r="O303" s="60"/>
    </row>
    <row r="304" customFormat="false" ht="15" hidden="false" customHeight="true" outlineLevel="0" collapsed="false">
      <c r="A304" s="61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6" t="str">
        <f aca="false">IF(COUNTA(B304:M304)=0,"",SUMPRODUCT((ISNUMBER(B304:M304))*B304:M304))</f>
        <v/>
      </c>
      <c r="O304" s="62"/>
    </row>
    <row r="305" customFormat="false" ht="15" hidden="false" customHeight="true" outlineLevel="0" collapsed="false">
      <c r="A305" s="59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3" t="str">
        <f aca="false">IF(COUNTA(B305:M305)=0,"",SUMPRODUCT((ISNUMBER(B305:M305))*B305:M305))</f>
        <v/>
      </c>
      <c r="O305" s="60"/>
    </row>
    <row r="306" customFormat="false" ht="15" hidden="false" customHeight="true" outlineLevel="0" collapsed="false">
      <c r="A306" s="61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6" t="str">
        <f aca="false">IF(COUNTA(B306:M306)=0,"",SUMPRODUCT((ISNUMBER(B306:M306))*B306:M306))</f>
        <v/>
      </c>
      <c r="O306" s="62"/>
    </row>
    <row r="307" customFormat="false" ht="15" hidden="false" customHeight="true" outlineLevel="0" collapsed="false">
      <c r="A307" s="59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3" t="str">
        <f aca="false">IF(COUNTA(B307:M307)=0,"",SUMPRODUCT((ISNUMBER(B307:M307))*B307:M307))</f>
        <v/>
      </c>
      <c r="O307" s="60"/>
    </row>
    <row r="308" customFormat="false" ht="15" hidden="false" customHeight="true" outlineLevel="0" collapsed="false">
      <c r="A308" s="61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6" t="str">
        <f aca="false">IF(COUNTA(B308:M308)=0,"",SUMPRODUCT((ISNUMBER(B308:M308))*B308:M308))</f>
        <v/>
      </c>
      <c r="O308" s="62"/>
    </row>
    <row r="309" customFormat="false" ht="15" hidden="false" customHeight="true" outlineLevel="0" collapsed="false">
      <c r="A309" s="59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3" t="str">
        <f aca="false">IF(COUNTA(B309:M309)=0,"",SUMPRODUCT((ISNUMBER(B309:M309))*B309:M309))</f>
        <v/>
      </c>
      <c r="O309" s="60"/>
    </row>
    <row r="310" customFormat="false" ht="15" hidden="false" customHeight="true" outlineLevel="0" collapsed="false">
      <c r="A310" s="61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6" t="str">
        <f aca="false">IF(COUNTA(B310:M310)=0,"",SUMPRODUCT((ISNUMBER(B310:M310))*B310:M310))</f>
        <v/>
      </c>
      <c r="O310" s="62"/>
    </row>
    <row r="311" customFormat="false" ht="15" hidden="false" customHeight="true" outlineLevel="0" collapsed="false">
      <c r="A311" s="59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3" t="str">
        <f aca="false">IF(COUNTA(B311:M311)=0,"",SUMPRODUCT((ISNUMBER(B311:M311))*B311:M311))</f>
        <v/>
      </c>
      <c r="O311" s="60"/>
    </row>
    <row r="312" customFormat="false" ht="15" hidden="false" customHeight="true" outlineLevel="0" collapsed="false">
      <c r="A312" s="61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6" t="str">
        <f aca="false">IF(COUNTA(B312:M312)=0,"",SUMPRODUCT((ISNUMBER(B312:M312))*B312:M312))</f>
        <v/>
      </c>
      <c r="O312" s="62"/>
    </row>
    <row r="313" customFormat="false" ht="15" hidden="false" customHeight="true" outlineLevel="0" collapsed="false">
      <c r="A313" s="59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3" t="str">
        <f aca="false">IF(COUNTA(B313:M313)=0,"",SUMPRODUCT((ISNUMBER(B313:M313))*B313:M313))</f>
        <v/>
      </c>
      <c r="O313" s="60"/>
    </row>
    <row r="314" customFormat="false" ht="15" hidden="false" customHeight="true" outlineLevel="0" collapsed="false">
      <c r="A314" s="61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6" t="str">
        <f aca="false">IF(COUNTA(B314:M314)=0,"",SUMPRODUCT((ISNUMBER(B314:M314))*B314:M314))</f>
        <v/>
      </c>
      <c r="O314" s="62"/>
    </row>
    <row r="315" customFormat="false" ht="15" hidden="false" customHeight="true" outlineLevel="0" collapsed="false">
      <c r="A315" s="59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3" t="str">
        <f aca="false">IF(COUNTA(B315:M315)=0,"",SUMPRODUCT((ISNUMBER(B315:M315))*B315:M315))</f>
        <v/>
      </c>
      <c r="O315" s="60"/>
    </row>
    <row r="316" customFormat="false" ht="15" hidden="false" customHeight="true" outlineLevel="0" collapsed="false">
      <c r="A316" s="61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6" t="str">
        <f aca="false">IF(COUNTA(B316:M316)=0,"",SUMPRODUCT((ISNUMBER(B316:M316))*B316:M316))</f>
        <v/>
      </c>
      <c r="O316" s="62"/>
    </row>
    <row r="317" customFormat="false" ht="15" hidden="false" customHeight="true" outlineLevel="0" collapsed="false">
      <c r="A317" s="59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3" t="str">
        <f aca="false">IF(COUNTA(B317:M317)=0,"",SUMPRODUCT((ISNUMBER(B317:M317))*B317:M317))</f>
        <v/>
      </c>
      <c r="O317" s="60"/>
    </row>
    <row r="318" customFormat="false" ht="15" hidden="false" customHeight="true" outlineLevel="0" collapsed="false">
      <c r="A318" s="61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6" t="str">
        <f aca="false">IF(COUNTA(B318:M318)=0,"",SUMPRODUCT((ISNUMBER(B318:M318))*B318:M318))</f>
        <v/>
      </c>
      <c r="O318" s="62"/>
    </row>
    <row r="319" customFormat="false" ht="15" hidden="false" customHeight="true" outlineLevel="0" collapsed="false">
      <c r="A319" s="59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3" t="str">
        <f aca="false">IF(COUNTA(B319:M319)=0,"",SUMPRODUCT((ISNUMBER(B319:M319))*B319:M319))</f>
        <v/>
      </c>
      <c r="O319" s="60"/>
    </row>
    <row r="320" customFormat="false" ht="15" hidden="false" customHeight="true" outlineLevel="0" collapsed="false">
      <c r="A320" s="61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6" t="str">
        <f aca="false">IF(COUNTA(B320:M320)=0,"",SUMPRODUCT((ISNUMBER(B320:M320))*B320:M320))</f>
        <v/>
      </c>
      <c r="O320" s="62"/>
    </row>
    <row r="321" customFormat="false" ht="15" hidden="false" customHeight="true" outlineLevel="0" collapsed="false">
      <c r="A321" s="59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3" t="str">
        <f aca="false">IF(COUNTA(B321:M321)=0,"",SUMPRODUCT((ISNUMBER(B321:M321))*B321:M321))</f>
        <v/>
      </c>
      <c r="O321" s="60"/>
    </row>
    <row r="322" customFormat="false" ht="15" hidden="false" customHeight="true" outlineLevel="0" collapsed="false">
      <c r="A322" s="61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6" t="str">
        <f aca="false">IF(COUNTA(B322:M322)=0,"",SUMPRODUCT((ISNUMBER(B322:M322))*B322:M322))</f>
        <v/>
      </c>
      <c r="O322" s="62"/>
    </row>
    <row r="323" customFormat="false" ht="15" hidden="false" customHeight="true" outlineLevel="0" collapsed="false">
      <c r="A323" s="59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3" t="str">
        <f aca="false">IF(COUNTA(B323:M323)=0,"",SUMPRODUCT((ISNUMBER(B323:M323))*B323:M323))</f>
        <v/>
      </c>
      <c r="O323" s="60"/>
    </row>
    <row r="324" customFormat="false" ht="15" hidden="false" customHeight="true" outlineLevel="0" collapsed="false">
      <c r="A324" s="61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6" t="str">
        <f aca="false">IF(COUNTA(B324:M324)=0,"",SUMPRODUCT((ISNUMBER(B324:M324))*B324:M324))</f>
        <v/>
      </c>
      <c r="O324" s="62"/>
    </row>
    <row r="325" customFormat="false" ht="15" hidden="false" customHeight="true" outlineLevel="0" collapsed="false">
      <c r="A325" s="59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3" t="str">
        <f aca="false">IF(COUNTA(B325:M325)=0,"",SUMPRODUCT((ISNUMBER(B325:M325))*B325:M325))</f>
        <v/>
      </c>
      <c r="O325" s="60"/>
    </row>
    <row r="326" customFormat="false" ht="15" hidden="false" customHeight="true" outlineLevel="0" collapsed="false">
      <c r="A326" s="61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6" t="str">
        <f aca="false">IF(COUNTA(B326:M326)=0,"",SUMPRODUCT((ISNUMBER(B326:M326))*B326:M326))</f>
        <v/>
      </c>
      <c r="O326" s="62"/>
    </row>
    <row r="327" customFormat="false" ht="15" hidden="false" customHeight="true" outlineLevel="0" collapsed="false">
      <c r="A327" s="59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3" t="str">
        <f aca="false">IF(COUNTA(B327:M327)=0,"",SUMPRODUCT((ISNUMBER(B327:M327))*B327:M327))</f>
        <v/>
      </c>
      <c r="O327" s="60"/>
    </row>
    <row r="328" customFormat="false" ht="15" hidden="false" customHeight="true" outlineLevel="0" collapsed="false">
      <c r="A328" s="61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6" t="str">
        <f aca="false">IF(COUNTA(B328:M328)=0,"",SUMPRODUCT((ISNUMBER(B328:M328))*B328:M328))</f>
        <v/>
      </c>
      <c r="O328" s="62"/>
    </row>
    <row r="329" customFormat="false" ht="15" hidden="false" customHeight="true" outlineLevel="0" collapsed="false">
      <c r="A329" s="59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3" t="str">
        <f aca="false">IF(COUNTA(B329:M329)=0,"",SUMPRODUCT((ISNUMBER(B329:M329))*B329:M329))</f>
        <v/>
      </c>
      <c r="O329" s="60"/>
    </row>
    <row r="330" customFormat="false" ht="15" hidden="false" customHeight="true" outlineLevel="0" collapsed="false">
      <c r="A330" s="61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6" t="str">
        <f aca="false">IF(COUNTA(B330:M330)=0,"",SUMPRODUCT((ISNUMBER(B330:M330))*B330:M330))</f>
        <v/>
      </c>
      <c r="O330" s="62"/>
    </row>
    <row r="331" customFormat="false" ht="15" hidden="false" customHeight="true" outlineLevel="0" collapsed="false">
      <c r="A331" s="59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3" t="str">
        <f aca="false">IF(COUNTA(B331:M331)=0,"",SUMPRODUCT((ISNUMBER(B331:M331))*B331:M331))</f>
        <v/>
      </c>
      <c r="O331" s="60"/>
    </row>
    <row r="332" customFormat="false" ht="15" hidden="false" customHeight="true" outlineLevel="0" collapsed="false">
      <c r="A332" s="61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6" t="str">
        <f aca="false">IF(COUNTA(B332:M332)=0,"",SUMPRODUCT((ISNUMBER(B332:M332))*B332:M332))</f>
        <v/>
      </c>
      <c r="O332" s="62"/>
    </row>
    <row r="333" customFormat="false" ht="15" hidden="false" customHeight="true" outlineLevel="0" collapsed="false">
      <c r="A333" s="59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3" t="str">
        <f aca="false">IF(COUNTA(B333:M333)=0,"",SUMPRODUCT((ISNUMBER(B333:M333))*B333:M333))</f>
        <v/>
      </c>
      <c r="O333" s="60"/>
    </row>
    <row r="334" customFormat="false" ht="15" hidden="false" customHeight="true" outlineLevel="0" collapsed="false">
      <c r="A334" s="61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6" t="str">
        <f aca="false">IF(COUNTA(B334:M334)=0,"",SUMPRODUCT((ISNUMBER(B334:M334))*B334:M334))</f>
        <v/>
      </c>
      <c r="O334" s="62"/>
    </row>
    <row r="335" customFormat="false" ht="15" hidden="false" customHeight="true" outlineLevel="0" collapsed="false">
      <c r="A335" s="59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3" t="str">
        <f aca="false">IF(COUNTA(B335:M335)=0,"",SUMPRODUCT((ISNUMBER(B335:M335))*B335:M335))</f>
        <v/>
      </c>
      <c r="O335" s="60"/>
    </row>
    <row r="336" customFormat="false" ht="15" hidden="false" customHeight="true" outlineLevel="0" collapsed="false">
      <c r="A336" s="61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6" t="str">
        <f aca="false">IF(COUNTA(B336:M336)=0,"",SUMPRODUCT((ISNUMBER(B336:M336))*B336:M336))</f>
        <v/>
      </c>
      <c r="O336" s="62"/>
    </row>
    <row r="337" customFormat="false" ht="15" hidden="false" customHeight="true" outlineLevel="0" collapsed="false">
      <c r="A337" s="59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3" t="str">
        <f aca="false">IF(COUNTA(B337:M337)=0,"",SUMPRODUCT((ISNUMBER(B337:M337))*B337:M337))</f>
        <v/>
      </c>
      <c r="O337" s="60"/>
    </row>
    <row r="338" customFormat="false" ht="15" hidden="false" customHeight="true" outlineLevel="0" collapsed="false">
      <c r="A338" s="61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6" t="str">
        <f aca="false">IF(COUNTA(B338:M338)=0,"",SUMPRODUCT((ISNUMBER(B338:M338))*B338:M338))</f>
        <v/>
      </c>
      <c r="O338" s="62"/>
    </row>
    <row r="339" customFormat="false" ht="15" hidden="false" customHeight="true" outlineLevel="0" collapsed="false">
      <c r="A339" s="59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3" t="str">
        <f aca="false">IF(COUNTA(B339:M339)=0,"",SUMPRODUCT((ISNUMBER(B339:M339))*B339:M339))</f>
        <v/>
      </c>
      <c r="O339" s="60"/>
    </row>
    <row r="340" customFormat="false" ht="15" hidden="false" customHeight="true" outlineLevel="0" collapsed="false">
      <c r="A340" s="61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6" t="str">
        <f aca="false">IF(COUNTA(B340:M340)=0,"",SUMPRODUCT((ISNUMBER(B340:M340))*B340:M340))</f>
        <v/>
      </c>
      <c r="O340" s="62"/>
    </row>
    <row r="341" customFormat="false" ht="15" hidden="false" customHeight="true" outlineLevel="0" collapsed="false">
      <c r="A341" s="59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3" t="str">
        <f aca="false">IF(COUNTA(B341:M341)=0,"",SUMPRODUCT((ISNUMBER(B341:M341))*B341:M341))</f>
        <v/>
      </c>
      <c r="O341" s="60"/>
    </row>
    <row r="342" customFormat="false" ht="15" hidden="false" customHeight="true" outlineLevel="0" collapsed="false">
      <c r="A342" s="61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6" t="str">
        <f aca="false">IF(COUNTA(B342:M342)=0,"",SUMPRODUCT((ISNUMBER(B342:M342))*B342:M342))</f>
        <v/>
      </c>
      <c r="O342" s="62"/>
    </row>
    <row r="343" customFormat="false" ht="15" hidden="false" customHeight="true" outlineLevel="0" collapsed="false">
      <c r="A343" s="59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3" t="str">
        <f aca="false">IF(COUNTA(B343:M343)=0,"",SUMPRODUCT((ISNUMBER(B343:M343))*B343:M343))</f>
        <v/>
      </c>
      <c r="O343" s="60"/>
    </row>
    <row r="344" customFormat="false" ht="15" hidden="false" customHeight="true" outlineLevel="0" collapsed="false">
      <c r="A344" s="61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6" t="str">
        <f aca="false">IF(COUNTA(B344:M344)=0,"",SUMPRODUCT((ISNUMBER(B344:M344))*B344:M344))</f>
        <v/>
      </c>
      <c r="O344" s="62"/>
    </row>
    <row r="345" customFormat="false" ht="15" hidden="false" customHeight="true" outlineLevel="0" collapsed="false">
      <c r="A345" s="59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3" t="str">
        <f aca="false">IF(COUNTA(B345:M345)=0,"",SUMPRODUCT((ISNUMBER(B345:M345))*B345:M345))</f>
        <v/>
      </c>
      <c r="O345" s="60"/>
    </row>
    <row r="346" customFormat="false" ht="15" hidden="false" customHeight="true" outlineLevel="0" collapsed="false">
      <c r="A346" s="61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6" t="str">
        <f aca="false">IF(COUNTA(B346:M346)=0,"",SUMPRODUCT((ISNUMBER(B346:M346))*B346:M346))</f>
        <v/>
      </c>
      <c r="O346" s="62"/>
    </row>
    <row r="347" customFormat="false" ht="15" hidden="false" customHeight="true" outlineLevel="0" collapsed="false">
      <c r="A347" s="59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3" t="str">
        <f aca="false">IF(COUNTA(B347:M347)=0,"",SUMPRODUCT((ISNUMBER(B347:M347))*B347:M347))</f>
        <v/>
      </c>
      <c r="O347" s="60"/>
    </row>
    <row r="348" customFormat="false" ht="15" hidden="false" customHeight="true" outlineLevel="0" collapsed="false">
      <c r="A348" s="61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6" t="str">
        <f aca="false">IF(COUNTA(B348:M348)=0,"",SUMPRODUCT((ISNUMBER(B348:M348))*B348:M348))</f>
        <v/>
      </c>
      <c r="O348" s="62"/>
    </row>
    <row r="349" customFormat="false" ht="15" hidden="false" customHeight="true" outlineLevel="0" collapsed="false">
      <c r="A349" s="59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3" t="str">
        <f aca="false">IF(COUNTA(B349:M349)=0,"",SUMPRODUCT((ISNUMBER(B349:M349))*B349:M349))</f>
        <v/>
      </c>
      <c r="O349" s="60"/>
    </row>
    <row r="350" customFormat="false" ht="15" hidden="false" customHeight="true" outlineLevel="0" collapsed="false">
      <c r="A350" s="61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6" t="str">
        <f aca="false">IF(COUNTA(B350:M350)=0,"",SUMPRODUCT((ISNUMBER(B350:M350))*B350:M350))</f>
        <v/>
      </c>
      <c r="O350" s="62"/>
    </row>
    <row r="351" customFormat="false" ht="15" hidden="false" customHeight="true" outlineLevel="0" collapsed="false">
      <c r="A351" s="59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3" t="str">
        <f aca="false">IF(COUNTA(B351:M351)=0,"",SUMPRODUCT((ISNUMBER(B351:M351))*B351:M351))</f>
        <v/>
      </c>
      <c r="O351" s="60"/>
    </row>
    <row r="352" customFormat="false" ht="15" hidden="false" customHeight="true" outlineLevel="0" collapsed="false">
      <c r="A352" s="61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6" t="str">
        <f aca="false">IF(COUNTA(B352:M352)=0,"",SUMPRODUCT((ISNUMBER(B352:M352))*B352:M352))</f>
        <v/>
      </c>
      <c r="O352" s="62"/>
    </row>
    <row r="353" customFormat="false" ht="15" hidden="false" customHeight="true" outlineLevel="0" collapsed="false">
      <c r="A353" s="59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3" t="str">
        <f aca="false">IF(COUNTA(B353:M353)=0,"",SUMPRODUCT((ISNUMBER(B353:M353))*B353:M353))</f>
        <v/>
      </c>
      <c r="O353" s="60"/>
    </row>
    <row r="354" customFormat="false" ht="15" hidden="false" customHeight="true" outlineLevel="0" collapsed="false">
      <c r="A354" s="61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6" t="str">
        <f aca="false">IF(COUNTA(B354:M354)=0,"",SUMPRODUCT((ISNUMBER(B354:M354))*B354:M354))</f>
        <v/>
      </c>
      <c r="O354" s="62"/>
    </row>
    <row r="355" customFormat="false" ht="15" hidden="false" customHeight="true" outlineLevel="0" collapsed="false">
      <c r="A355" s="59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3" t="str">
        <f aca="false">IF(COUNTA(B355:M355)=0,"",SUMPRODUCT((ISNUMBER(B355:M355))*B355:M355))</f>
        <v/>
      </c>
      <c r="O355" s="60"/>
    </row>
    <row r="356" customFormat="false" ht="15" hidden="false" customHeight="true" outlineLevel="0" collapsed="false">
      <c r="A356" s="61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6" t="str">
        <f aca="false">IF(COUNTA(B356:M356)=0,"",SUMPRODUCT((ISNUMBER(B356:M356))*B356:M356))</f>
        <v/>
      </c>
      <c r="O356" s="62"/>
    </row>
    <row r="357" customFormat="false" ht="15" hidden="false" customHeight="true" outlineLevel="0" collapsed="false">
      <c r="A357" s="59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3" t="str">
        <f aca="false">IF(COUNTA(B357:M357)=0,"",SUMPRODUCT((ISNUMBER(B357:M357))*B357:M357))</f>
        <v/>
      </c>
      <c r="O357" s="60"/>
    </row>
    <row r="358" customFormat="false" ht="15" hidden="false" customHeight="true" outlineLevel="0" collapsed="false">
      <c r="A358" s="61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6" t="str">
        <f aca="false">IF(COUNTA(B358:M358)=0,"",SUMPRODUCT((ISNUMBER(B358:M358))*B358:M358))</f>
        <v/>
      </c>
      <c r="O358" s="62"/>
    </row>
    <row r="359" customFormat="false" ht="15" hidden="false" customHeight="true" outlineLevel="0" collapsed="false">
      <c r="A359" s="59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3" t="str">
        <f aca="false">IF(COUNTA(B359:M359)=0,"",SUMPRODUCT((ISNUMBER(B359:M359))*B359:M359))</f>
        <v/>
      </c>
      <c r="O359" s="60"/>
    </row>
    <row r="360" customFormat="false" ht="15" hidden="false" customHeight="true" outlineLevel="0" collapsed="false">
      <c r="A360" s="61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6" t="str">
        <f aca="false">IF(COUNTA(B360:M360)=0,"",SUMPRODUCT((ISNUMBER(B360:M360))*B360:M360))</f>
        <v/>
      </c>
      <c r="O360" s="62"/>
    </row>
    <row r="361" customFormat="false" ht="15" hidden="false" customHeight="true" outlineLevel="0" collapsed="false">
      <c r="A361" s="59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3" t="str">
        <f aca="false">IF(COUNTA(B361:M361)=0,"",SUMPRODUCT((ISNUMBER(B361:M361))*B361:M361))</f>
        <v/>
      </c>
      <c r="O361" s="60"/>
    </row>
    <row r="362" customFormat="false" ht="15" hidden="false" customHeight="true" outlineLevel="0" collapsed="false">
      <c r="A362" s="61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6" t="str">
        <f aca="false">IF(COUNTA(B362:M362)=0,"",SUMPRODUCT((ISNUMBER(B362:M362))*B362:M362))</f>
        <v/>
      </c>
      <c r="O362" s="62"/>
    </row>
    <row r="363" customFormat="false" ht="15" hidden="false" customHeight="true" outlineLevel="0" collapsed="false">
      <c r="A363" s="59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3" t="str">
        <f aca="false">IF(COUNTA(B363:M363)=0,"",SUMPRODUCT((ISNUMBER(B363:M363))*B363:M363))</f>
        <v/>
      </c>
      <c r="O363" s="60"/>
    </row>
    <row r="364" customFormat="false" ht="15" hidden="false" customHeight="true" outlineLevel="0" collapsed="false">
      <c r="A364" s="61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6" t="str">
        <f aca="false">IF(COUNTA(B364:M364)=0,"",SUMPRODUCT((ISNUMBER(B364:M364))*B364:M364))</f>
        <v/>
      </c>
      <c r="O364" s="62"/>
    </row>
    <row r="365" customFormat="false" ht="15" hidden="false" customHeight="true" outlineLevel="0" collapsed="false">
      <c r="A365" s="59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3" t="str">
        <f aca="false">IF(COUNTA(B365:M365)=0,"",SUMPRODUCT((ISNUMBER(B365:M365))*B365:M365))</f>
        <v/>
      </c>
      <c r="O365" s="60"/>
    </row>
    <row r="366" customFormat="false" ht="15" hidden="false" customHeight="true" outlineLevel="0" collapsed="false">
      <c r="A366" s="61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6" t="str">
        <f aca="false">IF(COUNTA(B366:M366)=0,"",SUMPRODUCT((ISNUMBER(B366:M366))*B366:M366))</f>
        <v/>
      </c>
      <c r="O366" s="62"/>
    </row>
    <row r="367" customFormat="false" ht="15" hidden="false" customHeight="true" outlineLevel="0" collapsed="false">
      <c r="A367" s="59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3" t="str">
        <f aca="false">IF(COUNTA(B367:M367)=0,"",SUMPRODUCT((ISNUMBER(B367:M367))*B367:M367))</f>
        <v/>
      </c>
      <c r="O367" s="60"/>
    </row>
    <row r="368" customFormat="false" ht="15" hidden="false" customHeight="true" outlineLevel="0" collapsed="false">
      <c r="A368" s="61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6" t="str">
        <f aca="false">IF(COUNTA(B368:M368)=0,"",SUMPRODUCT((ISNUMBER(B368:M368))*B368:M368))</f>
        <v/>
      </c>
      <c r="O368" s="62"/>
    </row>
    <row r="369" customFormat="false" ht="15" hidden="false" customHeight="true" outlineLevel="0" collapsed="false">
      <c r="A369" s="59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3" t="str">
        <f aca="false">IF(COUNTA(B369:M369)=0,"",SUMPRODUCT((ISNUMBER(B369:M369))*B369:M369))</f>
        <v/>
      </c>
      <c r="O369" s="60"/>
    </row>
    <row r="370" customFormat="false" ht="15" hidden="false" customHeight="true" outlineLevel="0" collapsed="false">
      <c r="A370" s="61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6" t="str">
        <f aca="false">IF(COUNTA(B370:M370)=0,"",SUMPRODUCT((ISNUMBER(B370:M370))*B370:M370))</f>
        <v/>
      </c>
      <c r="O370" s="62"/>
    </row>
    <row r="371" customFormat="false" ht="15" hidden="false" customHeight="true" outlineLevel="0" collapsed="false">
      <c r="A371" s="59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3" t="str">
        <f aca="false">IF(COUNTA(B371:M371)=0,"",SUMPRODUCT((ISNUMBER(B371:M371))*B371:M371))</f>
        <v/>
      </c>
      <c r="O371" s="60"/>
    </row>
    <row r="372" customFormat="false" ht="15" hidden="false" customHeight="true" outlineLevel="0" collapsed="false">
      <c r="A372" s="61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6" t="str">
        <f aca="false">IF(COUNTA(B372:M372)=0,"",SUMPRODUCT((ISNUMBER(B372:M372))*B372:M372))</f>
        <v/>
      </c>
      <c r="O372" s="62"/>
    </row>
    <row r="373" customFormat="false" ht="15" hidden="false" customHeight="true" outlineLevel="0" collapsed="false">
      <c r="A373" s="59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3" t="str">
        <f aca="false">IF(COUNTA(B373:M373)=0,"",SUMPRODUCT((ISNUMBER(B373:M373))*B373:M373))</f>
        <v/>
      </c>
      <c r="O373" s="60"/>
    </row>
    <row r="374" customFormat="false" ht="15" hidden="false" customHeight="true" outlineLevel="0" collapsed="false">
      <c r="A374" s="61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6" t="str">
        <f aca="false">IF(COUNTA(B374:M374)=0,"",SUMPRODUCT((ISNUMBER(B374:M374))*B374:M374))</f>
        <v/>
      </c>
      <c r="O374" s="62"/>
    </row>
    <row r="375" customFormat="false" ht="15" hidden="false" customHeight="true" outlineLevel="0" collapsed="false">
      <c r="A375" s="59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3" t="str">
        <f aca="false">IF(COUNTA(B375:M375)=0,"",SUMPRODUCT((ISNUMBER(B375:M375))*B375:M375))</f>
        <v/>
      </c>
      <c r="O375" s="60"/>
    </row>
    <row r="376" customFormat="false" ht="15" hidden="false" customHeight="true" outlineLevel="0" collapsed="false">
      <c r="A376" s="61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6" t="str">
        <f aca="false">IF(COUNTA(B376:M376)=0,"",SUMPRODUCT((ISNUMBER(B376:M376))*B376:M376))</f>
        <v/>
      </c>
      <c r="O376" s="62"/>
    </row>
    <row r="377" customFormat="false" ht="15" hidden="false" customHeight="true" outlineLevel="0" collapsed="false">
      <c r="A377" s="59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3" t="str">
        <f aca="false">IF(COUNTA(B377:M377)=0,"",SUMPRODUCT((ISNUMBER(B377:M377))*B377:M377))</f>
        <v/>
      </c>
      <c r="O377" s="60"/>
    </row>
    <row r="378" customFormat="false" ht="15" hidden="false" customHeight="true" outlineLevel="0" collapsed="false">
      <c r="A378" s="61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6" t="str">
        <f aca="false">IF(COUNTA(B378:M378)=0,"",SUMPRODUCT((ISNUMBER(B378:M378))*B378:M378))</f>
        <v/>
      </c>
      <c r="O378" s="62"/>
    </row>
    <row r="379" customFormat="false" ht="15" hidden="false" customHeight="true" outlineLevel="0" collapsed="false">
      <c r="A379" s="59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3" t="str">
        <f aca="false">IF(COUNTA(B379:M379)=0,"",SUMPRODUCT((ISNUMBER(B379:M379))*B379:M379))</f>
        <v/>
      </c>
      <c r="O379" s="60"/>
    </row>
    <row r="380" customFormat="false" ht="15" hidden="false" customHeight="true" outlineLevel="0" collapsed="false">
      <c r="A380" s="61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6" t="str">
        <f aca="false">IF(COUNTA(B380:M380)=0,"",SUMPRODUCT((ISNUMBER(B380:M380))*B380:M380))</f>
        <v/>
      </c>
      <c r="O380" s="62"/>
    </row>
    <row r="381" customFormat="false" ht="15" hidden="false" customHeight="true" outlineLevel="0" collapsed="false">
      <c r="A381" s="59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3" t="str">
        <f aca="false">IF(COUNTA(B381:M381)=0,"",SUMPRODUCT((ISNUMBER(B381:M381))*B381:M381))</f>
        <v/>
      </c>
      <c r="O381" s="60"/>
    </row>
    <row r="382" customFormat="false" ht="15" hidden="false" customHeight="true" outlineLevel="0" collapsed="false">
      <c r="A382" s="61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6" t="str">
        <f aca="false">IF(COUNTA(B382:M382)=0,"",SUMPRODUCT((ISNUMBER(B382:M382))*B382:M382))</f>
        <v/>
      </c>
      <c r="O382" s="62"/>
    </row>
    <row r="383" customFormat="false" ht="15" hidden="false" customHeight="true" outlineLevel="0" collapsed="false">
      <c r="A383" s="59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3" t="str">
        <f aca="false">IF(COUNTA(B383:M383)=0,"",SUMPRODUCT((ISNUMBER(B383:M383))*B383:M383))</f>
        <v/>
      </c>
      <c r="O383" s="60"/>
    </row>
    <row r="384" customFormat="false" ht="15" hidden="false" customHeight="true" outlineLevel="0" collapsed="false">
      <c r="A384" s="61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6" t="str">
        <f aca="false">IF(COUNTA(B384:M384)=0,"",SUMPRODUCT((ISNUMBER(B384:M384))*B384:M384))</f>
        <v/>
      </c>
      <c r="O384" s="62"/>
    </row>
    <row r="385" customFormat="false" ht="15" hidden="false" customHeight="true" outlineLevel="0" collapsed="false">
      <c r="A385" s="59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3" t="str">
        <f aca="false">IF(COUNTA(B385:M385)=0,"",SUMPRODUCT((ISNUMBER(B385:M385))*B385:M385))</f>
        <v/>
      </c>
      <c r="O385" s="60"/>
    </row>
    <row r="386" customFormat="false" ht="15" hidden="false" customHeight="true" outlineLevel="0" collapsed="false">
      <c r="A386" s="61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6" t="str">
        <f aca="false">IF(COUNTA(B386:M386)=0,"",SUMPRODUCT((ISNUMBER(B386:M386))*B386:M386))</f>
        <v/>
      </c>
      <c r="O386" s="62"/>
    </row>
    <row r="387" customFormat="false" ht="15" hidden="false" customHeight="true" outlineLevel="0" collapsed="false">
      <c r="A387" s="59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3" t="str">
        <f aca="false">IF(COUNTA(B387:M387)=0,"",SUMPRODUCT((ISNUMBER(B387:M387))*B387:M387))</f>
        <v/>
      </c>
      <c r="O387" s="60"/>
    </row>
    <row r="388" customFormat="false" ht="15" hidden="false" customHeight="true" outlineLevel="0" collapsed="false">
      <c r="A388" s="61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6" t="str">
        <f aca="false">IF(COUNTA(B388:M388)=0,"",SUMPRODUCT((ISNUMBER(B388:M388))*B388:M388))</f>
        <v/>
      </c>
      <c r="O388" s="62"/>
    </row>
    <row r="389" customFormat="false" ht="15" hidden="false" customHeight="true" outlineLevel="0" collapsed="false">
      <c r="A389" s="59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3" t="str">
        <f aca="false">IF(COUNTA(B389:M389)=0,"",SUMPRODUCT((ISNUMBER(B389:M389))*B389:M389))</f>
        <v/>
      </c>
      <c r="O389" s="60"/>
    </row>
    <row r="390" customFormat="false" ht="15" hidden="false" customHeight="true" outlineLevel="0" collapsed="false">
      <c r="A390" s="61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6" t="str">
        <f aca="false">IF(COUNTA(B390:M390)=0,"",SUMPRODUCT((ISNUMBER(B390:M390))*B390:M390))</f>
        <v/>
      </c>
      <c r="O390" s="62"/>
    </row>
    <row r="391" customFormat="false" ht="15" hidden="false" customHeight="true" outlineLevel="0" collapsed="false">
      <c r="A391" s="59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3" t="str">
        <f aca="false">IF(COUNTA(B391:M391)=0,"",SUMPRODUCT((ISNUMBER(B391:M391))*B391:M391))</f>
        <v/>
      </c>
      <c r="O391" s="60"/>
    </row>
    <row r="392" customFormat="false" ht="15" hidden="false" customHeight="true" outlineLevel="0" collapsed="false">
      <c r="A392" s="61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6" t="str">
        <f aca="false">IF(COUNTA(B392:M392)=0,"",SUMPRODUCT((ISNUMBER(B392:M392))*B392:M392))</f>
        <v/>
      </c>
      <c r="O392" s="62"/>
    </row>
    <row r="393" customFormat="false" ht="15" hidden="false" customHeight="true" outlineLevel="0" collapsed="false">
      <c r="A393" s="59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3" t="str">
        <f aca="false">IF(COUNTA(B393:M393)=0,"",SUMPRODUCT((ISNUMBER(B393:M393))*B393:M393))</f>
        <v/>
      </c>
      <c r="O393" s="60"/>
    </row>
    <row r="394" customFormat="false" ht="15" hidden="false" customHeight="true" outlineLevel="0" collapsed="false">
      <c r="A394" s="61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6" t="str">
        <f aca="false">IF(COUNTA(B394:M394)=0,"",SUMPRODUCT((ISNUMBER(B394:M394))*B394:M394))</f>
        <v/>
      </c>
      <c r="O394" s="62"/>
    </row>
    <row r="395" customFormat="false" ht="15" hidden="false" customHeight="true" outlineLevel="0" collapsed="false">
      <c r="A395" s="59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3" t="str">
        <f aca="false">IF(COUNTA(B395:M395)=0,"",SUMPRODUCT((ISNUMBER(B395:M395))*B395:M395))</f>
        <v/>
      </c>
      <c r="O395" s="60"/>
    </row>
    <row r="396" customFormat="false" ht="15" hidden="false" customHeight="true" outlineLevel="0" collapsed="false">
      <c r="A396" s="61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6" t="str">
        <f aca="false">IF(COUNTA(B396:M396)=0,"",SUMPRODUCT((ISNUMBER(B396:M396))*B396:M396))</f>
        <v/>
      </c>
      <c r="O396" s="62"/>
    </row>
    <row r="397" customFormat="false" ht="15" hidden="false" customHeight="true" outlineLevel="0" collapsed="false">
      <c r="A397" s="59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3" t="str">
        <f aca="false">IF(COUNTA(B397:M397)=0,"",SUMPRODUCT((ISNUMBER(B397:M397))*B397:M397))</f>
        <v/>
      </c>
      <c r="O397" s="60"/>
    </row>
    <row r="398" customFormat="false" ht="15" hidden="false" customHeight="true" outlineLevel="0" collapsed="false">
      <c r="A398" s="61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6" t="str">
        <f aca="false">IF(COUNTA(B398:M398)=0,"",SUMPRODUCT((ISNUMBER(B398:M398))*B398:M398))</f>
        <v/>
      </c>
      <c r="O398" s="62"/>
    </row>
    <row r="399" customFormat="false" ht="15" hidden="false" customHeight="true" outlineLevel="0" collapsed="false">
      <c r="A399" s="59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3" t="str">
        <f aca="false">IF(COUNTA(B399:M399)=0,"",SUMPRODUCT((ISNUMBER(B399:M399))*B399:M399))</f>
        <v/>
      </c>
      <c r="O399" s="60"/>
    </row>
    <row r="400" customFormat="false" ht="15" hidden="false" customHeight="true" outlineLevel="0" collapsed="false">
      <c r="A400" s="61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6" t="str">
        <f aca="false">IF(COUNTA(B400:M400)=0,"",SUMPRODUCT((ISNUMBER(B400:M400))*B400:M400))</f>
        <v/>
      </c>
      <c r="O400" s="62"/>
    </row>
    <row r="401" customFormat="false" ht="15" hidden="false" customHeight="true" outlineLevel="0" collapsed="false">
      <c r="A401" s="59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3" t="str">
        <f aca="false">IF(COUNTA(B401:M401)=0,"",SUMPRODUCT((ISNUMBER(B401:M401))*B401:M401))</f>
        <v/>
      </c>
      <c r="O401" s="60"/>
    </row>
    <row r="402" customFormat="false" ht="15" hidden="false" customHeight="true" outlineLevel="0" collapsed="false">
      <c r="A402" s="61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6" t="str">
        <f aca="false">IF(COUNTA(B402:M402)=0,"",SUMPRODUCT((ISNUMBER(B402:M402))*B402:M402))</f>
        <v/>
      </c>
      <c r="O402" s="62"/>
    </row>
    <row r="403" customFormat="false" ht="15" hidden="false" customHeight="true" outlineLevel="0" collapsed="false">
      <c r="A403" s="59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3" t="str">
        <f aca="false">IF(COUNTA(B403:M403)=0,"",SUMPRODUCT((ISNUMBER(B403:M403))*B403:M403))</f>
        <v/>
      </c>
      <c r="O403" s="60"/>
    </row>
    <row r="404" customFormat="false" ht="15" hidden="false" customHeight="true" outlineLevel="0" collapsed="false">
      <c r="A404" s="61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6" t="str">
        <f aca="false">IF(COUNTA(B404:M404)=0,"",SUMPRODUCT((ISNUMBER(B404:M404))*B404:M404))</f>
        <v/>
      </c>
      <c r="O404" s="62"/>
    </row>
    <row r="405" customFormat="false" ht="15" hidden="false" customHeight="true" outlineLevel="0" collapsed="false">
      <c r="A405" s="59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3" t="str">
        <f aca="false">IF(COUNTA(B405:M405)=0,"",SUMPRODUCT((ISNUMBER(B405:M405))*B405:M405))</f>
        <v/>
      </c>
      <c r="O405" s="60"/>
    </row>
    <row r="406" customFormat="false" ht="15" hidden="false" customHeight="true" outlineLevel="0" collapsed="false">
      <c r="A406" s="61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6" t="str">
        <f aca="false">IF(COUNTA(B406:M406)=0,"",SUMPRODUCT((ISNUMBER(B406:M406))*B406:M406))</f>
        <v/>
      </c>
      <c r="O406" s="62"/>
    </row>
    <row r="407" customFormat="false" ht="15" hidden="false" customHeight="true" outlineLevel="0" collapsed="false">
      <c r="A407" s="59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3" t="str">
        <f aca="false">IF(COUNTA(B407:M407)=0,"",SUMPRODUCT((ISNUMBER(B407:M407))*B407:M407))</f>
        <v/>
      </c>
      <c r="O407" s="60"/>
    </row>
    <row r="408" customFormat="false" ht="15" hidden="false" customHeight="true" outlineLevel="0" collapsed="false">
      <c r="A408" s="61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6" t="str">
        <f aca="false">IF(COUNTA(B408:M408)=0,"",SUMPRODUCT((ISNUMBER(B408:M408))*B408:M408))</f>
        <v/>
      </c>
      <c r="O408" s="62"/>
    </row>
    <row r="409" customFormat="false" ht="15" hidden="false" customHeight="true" outlineLevel="0" collapsed="false">
      <c r="A409" s="59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3" t="str">
        <f aca="false">IF(COUNTA(B409:M409)=0,"",SUMPRODUCT((ISNUMBER(B409:M409))*B409:M409))</f>
        <v/>
      </c>
      <c r="O409" s="60"/>
    </row>
    <row r="410" customFormat="false" ht="15" hidden="false" customHeight="true" outlineLevel="0" collapsed="false">
      <c r="A410" s="61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6" t="str">
        <f aca="false">IF(COUNTA(B410:M410)=0,"",SUMPRODUCT((ISNUMBER(B410:M410))*B410:M410))</f>
        <v/>
      </c>
      <c r="O410" s="62"/>
    </row>
    <row r="411" customFormat="false" ht="15" hidden="false" customHeight="true" outlineLevel="0" collapsed="false">
      <c r="A411" s="59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3" t="str">
        <f aca="false">IF(COUNTA(B411:M411)=0,"",SUMPRODUCT((ISNUMBER(B411:M411))*B411:M411))</f>
        <v/>
      </c>
      <c r="O411" s="60"/>
    </row>
    <row r="412" customFormat="false" ht="15" hidden="false" customHeight="true" outlineLevel="0" collapsed="false">
      <c r="A412" s="61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6" t="str">
        <f aca="false">IF(COUNTA(B412:M412)=0,"",SUMPRODUCT((ISNUMBER(B412:M412))*B412:M412))</f>
        <v/>
      </c>
      <c r="O412" s="62"/>
    </row>
    <row r="413" customFormat="false" ht="15" hidden="false" customHeight="true" outlineLevel="0" collapsed="false">
      <c r="A413" s="59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3" t="str">
        <f aca="false">IF(COUNTA(B413:M413)=0,"",SUMPRODUCT((ISNUMBER(B413:M413))*B413:M413))</f>
        <v/>
      </c>
      <c r="O413" s="60"/>
    </row>
    <row r="414" customFormat="false" ht="15" hidden="false" customHeight="true" outlineLevel="0" collapsed="false">
      <c r="A414" s="61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6" t="str">
        <f aca="false">IF(COUNTA(B414:M414)=0,"",SUMPRODUCT((ISNUMBER(B414:M414))*B414:M414))</f>
        <v/>
      </c>
      <c r="O414" s="62"/>
    </row>
    <row r="415" customFormat="false" ht="15" hidden="false" customHeight="true" outlineLevel="0" collapsed="false">
      <c r="A415" s="59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3" t="str">
        <f aca="false">IF(COUNTA(B415:M415)=0,"",SUMPRODUCT((ISNUMBER(B415:M415))*B415:M415))</f>
        <v/>
      </c>
      <c r="O415" s="60"/>
    </row>
    <row r="416" customFormat="false" ht="15" hidden="false" customHeight="true" outlineLevel="0" collapsed="false">
      <c r="A416" s="61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6" t="str">
        <f aca="false">IF(COUNTA(B416:M416)=0,"",SUMPRODUCT((ISNUMBER(B416:M416))*B416:M416))</f>
        <v/>
      </c>
      <c r="O416" s="62"/>
    </row>
    <row r="417" customFormat="false" ht="15" hidden="false" customHeight="true" outlineLevel="0" collapsed="false">
      <c r="A417" s="59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3" t="str">
        <f aca="false">IF(COUNTA(B417:M417)=0,"",SUMPRODUCT((ISNUMBER(B417:M417))*B417:M417))</f>
        <v/>
      </c>
      <c r="O417" s="60"/>
    </row>
    <row r="418" customFormat="false" ht="15" hidden="false" customHeight="true" outlineLevel="0" collapsed="false">
      <c r="A418" s="61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6" t="str">
        <f aca="false">IF(COUNTA(B418:M418)=0,"",SUMPRODUCT((ISNUMBER(B418:M418))*B418:M418))</f>
        <v/>
      </c>
      <c r="O418" s="62"/>
    </row>
    <row r="419" customFormat="false" ht="15" hidden="false" customHeight="true" outlineLevel="0" collapsed="false">
      <c r="A419" s="59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3" t="str">
        <f aca="false">IF(COUNTA(B419:M419)=0,"",SUMPRODUCT((ISNUMBER(B419:M419))*B419:M419))</f>
        <v/>
      </c>
      <c r="O419" s="60"/>
    </row>
    <row r="420" customFormat="false" ht="15" hidden="false" customHeight="true" outlineLevel="0" collapsed="false">
      <c r="A420" s="61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6" t="str">
        <f aca="false">IF(COUNTA(B420:M420)=0,"",SUMPRODUCT((ISNUMBER(B420:M420))*B420:M420))</f>
        <v/>
      </c>
      <c r="O420" s="62"/>
    </row>
    <row r="421" customFormat="false" ht="15" hidden="false" customHeight="true" outlineLevel="0" collapsed="false">
      <c r="A421" s="59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3" t="str">
        <f aca="false">IF(COUNTA(B421:M421)=0,"",SUMPRODUCT((ISNUMBER(B421:M421))*B421:M421))</f>
        <v/>
      </c>
      <c r="O421" s="60"/>
    </row>
    <row r="422" customFormat="false" ht="15" hidden="false" customHeight="true" outlineLevel="0" collapsed="false">
      <c r="A422" s="61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6" t="str">
        <f aca="false">IF(COUNTA(B422:M422)=0,"",SUMPRODUCT((ISNUMBER(B422:M422))*B422:M422))</f>
        <v/>
      </c>
      <c r="O422" s="62"/>
    </row>
    <row r="423" customFormat="false" ht="15" hidden="false" customHeight="true" outlineLevel="0" collapsed="false">
      <c r="A423" s="59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3" t="str">
        <f aca="false">IF(COUNTA(B423:M423)=0,"",SUMPRODUCT((ISNUMBER(B423:M423))*B423:M423))</f>
        <v/>
      </c>
      <c r="O423" s="60"/>
    </row>
    <row r="424" customFormat="false" ht="15" hidden="false" customHeight="true" outlineLevel="0" collapsed="false">
      <c r="A424" s="61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6" t="str">
        <f aca="false">IF(COUNTA(B424:M424)=0,"",SUMPRODUCT((ISNUMBER(B424:M424))*B424:M424))</f>
        <v/>
      </c>
      <c r="O424" s="62"/>
    </row>
    <row r="425" customFormat="false" ht="15" hidden="false" customHeight="true" outlineLevel="0" collapsed="false">
      <c r="A425" s="59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3" t="str">
        <f aca="false">IF(COUNTA(B425:M425)=0,"",SUMPRODUCT((ISNUMBER(B425:M425))*B425:M425))</f>
        <v/>
      </c>
      <c r="O425" s="60"/>
    </row>
    <row r="426" customFormat="false" ht="15" hidden="false" customHeight="true" outlineLevel="0" collapsed="false">
      <c r="A426" s="61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6" t="str">
        <f aca="false">IF(COUNTA(B426:M426)=0,"",SUMPRODUCT((ISNUMBER(B426:M426))*B426:M426))</f>
        <v/>
      </c>
      <c r="O426" s="62"/>
    </row>
    <row r="427" customFormat="false" ht="15" hidden="false" customHeight="true" outlineLevel="0" collapsed="false">
      <c r="A427" s="59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3" t="str">
        <f aca="false">IF(COUNTA(B427:M427)=0,"",SUMPRODUCT((ISNUMBER(B427:M427))*B427:M427))</f>
        <v/>
      </c>
      <c r="O427" s="60"/>
    </row>
    <row r="428" customFormat="false" ht="15" hidden="false" customHeight="true" outlineLevel="0" collapsed="false">
      <c r="A428" s="61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6" t="str">
        <f aca="false">IF(COUNTA(B428:M428)=0,"",SUMPRODUCT((ISNUMBER(B428:M428))*B428:M428))</f>
        <v/>
      </c>
      <c r="O428" s="62"/>
    </row>
    <row r="429" customFormat="false" ht="15" hidden="false" customHeight="true" outlineLevel="0" collapsed="false">
      <c r="A429" s="59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3" t="str">
        <f aca="false">IF(COUNTA(B429:M429)=0,"",SUMPRODUCT((ISNUMBER(B429:M429))*B429:M429))</f>
        <v/>
      </c>
      <c r="O429" s="60"/>
    </row>
    <row r="430" customFormat="false" ht="15" hidden="false" customHeight="true" outlineLevel="0" collapsed="false">
      <c r="A430" s="61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6" t="str">
        <f aca="false">IF(COUNTA(B430:M430)=0,"",SUMPRODUCT((ISNUMBER(B430:M430))*B430:M430))</f>
        <v/>
      </c>
      <c r="O430" s="62"/>
    </row>
    <row r="431" customFormat="false" ht="15" hidden="false" customHeight="true" outlineLevel="0" collapsed="false">
      <c r="A431" s="59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3" t="str">
        <f aca="false">IF(COUNTA(B431:M431)=0,"",SUMPRODUCT((ISNUMBER(B431:M431))*B431:M431))</f>
        <v/>
      </c>
      <c r="O431" s="60"/>
    </row>
    <row r="432" customFormat="false" ht="15" hidden="false" customHeight="true" outlineLevel="0" collapsed="false">
      <c r="A432" s="61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6" t="str">
        <f aca="false">IF(COUNTA(B432:M432)=0,"",SUMPRODUCT((ISNUMBER(B432:M432))*B432:M432))</f>
        <v/>
      </c>
      <c r="O432" s="62"/>
    </row>
    <row r="433" customFormat="false" ht="15" hidden="false" customHeight="true" outlineLevel="0" collapsed="false">
      <c r="A433" s="59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3" t="str">
        <f aca="false">IF(COUNTA(B433:M433)=0,"",SUMPRODUCT((ISNUMBER(B433:M433))*B433:M433))</f>
        <v/>
      </c>
      <c r="O433" s="60"/>
    </row>
    <row r="434" customFormat="false" ht="15" hidden="false" customHeight="true" outlineLevel="0" collapsed="false">
      <c r="A434" s="61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6" t="str">
        <f aca="false">IF(COUNTA(B434:M434)=0,"",SUMPRODUCT((ISNUMBER(B434:M434))*B434:M434))</f>
        <v/>
      </c>
      <c r="O434" s="62"/>
    </row>
    <row r="435" customFormat="false" ht="15" hidden="false" customHeight="true" outlineLevel="0" collapsed="false">
      <c r="A435" s="59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3" t="str">
        <f aca="false">IF(COUNTA(B435:M435)=0,"",SUMPRODUCT((ISNUMBER(B435:M435))*B435:M435))</f>
        <v/>
      </c>
      <c r="O435" s="60"/>
    </row>
    <row r="436" customFormat="false" ht="15" hidden="false" customHeight="true" outlineLevel="0" collapsed="false">
      <c r="A436" s="61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6" t="str">
        <f aca="false">IF(COUNTA(B436:M436)=0,"",SUMPRODUCT((ISNUMBER(B436:M436))*B436:M436))</f>
        <v/>
      </c>
      <c r="O436" s="62"/>
    </row>
    <row r="437" customFormat="false" ht="15" hidden="false" customHeight="true" outlineLevel="0" collapsed="false">
      <c r="A437" s="59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3" t="str">
        <f aca="false">IF(COUNTA(B437:M437)=0,"",SUMPRODUCT((ISNUMBER(B437:M437))*B437:M437))</f>
        <v/>
      </c>
      <c r="O437" s="60"/>
    </row>
    <row r="438" customFormat="false" ht="15" hidden="false" customHeight="true" outlineLevel="0" collapsed="false">
      <c r="A438" s="61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6" t="str">
        <f aca="false">IF(COUNTA(B438:M438)=0,"",SUMPRODUCT((ISNUMBER(B438:M438))*B438:M438))</f>
        <v/>
      </c>
      <c r="O438" s="62"/>
    </row>
    <row r="439" customFormat="false" ht="15" hidden="false" customHeight="true" outlineLevel="0" collapsed="false">
      <c r="A439" s="59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3" t="str">
        <f aca="false">IF(COUNTA(B439:M439)=0,"",SUMPRODUCT((ISNUMBER(B439:M439))*B439:M439))</f>
        <v/>
      </c>
      <c r="O439" s="60"/>
    </row>
    <row r="440" customFormat="false" ht="15" hidden="false" customHeight="true" outlineLevel="0" collapsed="false">
      <c r="A440" s="61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6" t="str">
        <f aca="false">IF(COUNTA(B440:M440)=0,"",SUMPRODUCT((ISNUMBER(B440:M440))*B440:M440))</f>
        <v/>
      </c>
      <c r="O440" s="62"/>
    </row>
    <row r="441" customFormat="false" ht="15" hidden="false" customHeight="true" outlineLevel="0" collapsed="false">
      <c r="A441" s="59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3" t="str">
        <f aca="false">IF(COUNTA(B441:M441)=0,"",SUMPRODUCT((ISNUMBER(B441:M441))*B441:M441))</f>
        <v/>
      </c>
      <c r="O441" s="60"/>
    </row>
    <row r="442" customFormat="false" ht="15" hidden="false" customHeight="true" outlineLevel="0" collapsed="false">
      <c r="A442" s="61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6" t="str">
        <f aca="false">IF(COUNTA(B442:M442)=0,"",SUMPRODUCT((ISNUMBER(B442:M442))*B442:M442))</f>
        <v/>
      </c>
      <c r="O442" s="62"/>
    </row>
    <row r="443" customFormat="false" ht="15" hidden="false" customHeight="true" outlineLevel="0" collapsed="false">
      <c r="A443" s="59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3" t="str">
        <f aca="false">IF(COUNTA(B443:M443)=0,"",SUMPRODUCT((ISNUMBER(B443:M443))*B443:M443))</f>
        <v/>
      </c>
      <c r="O443" s="60"/>
    </row>
    <row r="444" customFormat="false" ht="15" hidden="false" customHeight="true" outlineLevel="0" collapsed="false">
      <c r="A444" s="61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6" t="str">
        <f aca="false">IF(COUNTA(B444:M444)=0,"",SUMPRODUCT((ISNUMBER(B444:M444))*B444:M444))</f>
        <v/>
      </c>
      <c r="O444" s="62"/>
    </row>
    <row r="445" customFormat="false" ht="15" hidden="false" customHeight="true" outlineLevel="0" collapsed="false">
      <c r="A445" s="59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3" t="str">
        <f aca="false">IF(COUNTA(B445:M445)=0,"",SUMPRODUCT((ISNUMBER(B445:M445))*B445:M445))</f>
        <v/>
      </c>
      <c r="O445" s="60"/>
    </row>
    <row r="446" customFormat="false" ht="15" hidden="false" customHeight="true" outlineLevel="0" collapsed="false">
      <c r="A446" s="61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6" t="str">
        <f aca="false">IF(COUNTA(B446:M446)=0,"",SUMPRODUCT((ISNUMBER(B446:M446))*B446:M446))</f>
        <v/>
      </c>
      <c r="O446" s="62"/>
    </row>
    <row r="447" customFormat="false" ht="15" hidden="false" customHeight="true" outlineLevel="0" collapsed="false">
      <c r="A447" s="59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3" t="str">
        <f aca="false">IF(COUNTA(B447:M447)=0,"",SUMPRODUCT((ISNUMBER(B447:M447))*B447:M447))</f>
        <v/>
      </c>
      <c r="O447" s="60"/>
    </row>
    <row r="448" customFormat="false" ht="15" hidden="false" customHeight="true" outlineLevel="0" collapsed="false">
      <c r="A448" s="61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6" t="str">
        <f aca="false">IF(COUNTA(B448:M448)=0,"",SUMPRODUCT((ISNUMBER(B448:M448))*B448:M448))</f>
        <v/>
      </c>
      <c r="O448" s="62"/>
    </row>
    <row r="449" customFormat="false" ht="15" hidden="false" customHeight="true" outlineLevel="0" collapsed="false">
      <c r="A449" s="59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3" t="str">
        <f aca="false">IF(COUNTA(B449:M449)=0,"",SUMPRODUCT((ISNUMBER(B449:M449))*B449:M449))</f>
        <v/>
      </c>
      <c r="O449" s="60"/>
    </row>
    <row r="450" customFormat="false" ht="15" hidden="false" customHeight="true" outlineLevel="0" collapsed="false">
      <c r="A450" s="61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6" t="str">
        <f aca="false">IF(COUNTA(B450:M450)=0,"",SUMPRODUCT((ISNUMBER(B450:M450))*B450:M450))</f>
        <v/>
      </c>
      <c r="O450" s="62"/>
    </row>
    <row r="451" customFormat="false" ht="15" hidden="false" customHeight="true" outlineLevel="0" collapsed="false">
      <c r="A451" s="59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3" t="str">
        <f aca="false">IF(COUNTA(B451:M451)=0,"",SUMPRODUCT((ISNUMBER(B451:M451))*B451:M451))</f>
        <v/>
      </c>
      <c r="O451" s="60"/>
    </row>
    <row r="452" customFormat="false" ht="15" hidden="false" customHeight="true" outlineLevel="0" collapsed="false">
      <c r="A452" s="61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6" t="str">
        <f aca="false">IF(COUNTA(B452:M452)=0,"",SUMPRODUCT((ISNUMBER(B452:M452))*B452:M452))</f>
        <v/>
      </c>
      <c r="O452" s="62"/>
    </row>
    <row r="453" customFormat="false" ht="15" hidden="false" customHeight="true" outlineLevel="0" collapsed="false">
      <c r="A453" s="59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3" t="str">
        <f aca="false">IF(COUNTA(B453:M453)=0,"",SUMPRODUCT((ISNUMBER(B453:M453))*B453:M453))</f>
        <v/>
      </c>
      <c r="O453" s="60"/>
    </row>
    <row r="454" customFormat="false" ht="15" hidden="false" customHeight="true" outlineLevel="0" collapsed="false">
      <c r="A454" s="61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6" t="str">
        <f aca="false">IF(COUNTA(B454:M454)=0,"",SUMPRODUCT((ISNUMBER(B454:M454))*B454:M454))</f>
        <v/>
      </c>
      <c r="O454" s="62"/>
    </row>
    <row r="455" customFormat="false" ht="15" hidden="false" customHeight="true" outlineLevel="0" collapsed="false">
      <c r="A455" s="59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3" t="str">
        <f aca="false">IF(COUNTA(B455:M455)=0,"",SUMPRODUCT((ISNUMBER(B455:M455))*B455:M455))</f>
        <v/>
      </c>
      <c r="O455" s="60"/>
    </row>
    <row r="456" customFormat="false" ht="15" hidden="false" customHeight="true" outlineLevel="0" collapsed="false">
      <c r="A456" s="61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6" t="str">
        <f aca="false">IF(COUNTA(B456:M456)=0,"",SUMPRODUCT((ISNUMBER(B456:M456))*B456:M456))</f>
        <v/>
      </c>
      <c r="O456" s="62"/>
    </row>
    <row r="457" customFormat="false" ht="15" hidden="false" customHeight="true" outlineLevel="0" collapsed="false">
      <c r="A457" s="59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3" t="str">
        <f aca="false">IF(COUNTA(B457:M457)=0,"",SUMPRODUCT((ISNUMBER(B457:M457))*B457:M457))</f>
        <v/>
      </c>
      <c r="O457" s="60"/>
    </row>
    <row r="458" customFormat="false" ht="15" hidden="false" customHeight="true" outlineLevel="0" collapsed="false">
      <c r="A458" s="61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6" t="str">
        <f aca="false">IF(COUNTA(B458:M458)=0,"",SUMPRODUCT((ISNUMBER(B458:M458))*B458:M458))</f>
        <v/>
      </c>
      <c r="O458" s="62"/>
    </row>
    <row r="459" customFormat="false" ht="15" hidden="false" customHeight="true" outlineLevel="0" collapsed="false">
      <c r="A459" s="59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3" t="str">
        <f aca="false">IF(COUNTA(B459:M459)=0,"",SUMPRODUCT((ISNUMBER(B459:M459))*B459:M459))</f>
        <v/>
      </c>
      <c r="O459" s="60"/>
    </row>
    <row r="460" customFormat="false" ht="15" hidden="false" customHeight="true" outlineLevel="0" collapsed="false">
      <c r="A460" s="61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6" t="str">
        <f aca="false">IF(COUNTA(B460:M460)=0,"",SUMPRODUCT((ISNUMBER(B460:M460))*B460:M460))</f>
        <v/>
      </c>
      <c r="O460" s="62"/>
    </row>
    <row r="461" customFormat="false" ht="15" hidden="false" customHeight="true" outlineLevel="0" collapsed="false">
      <c r="A461" s="59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3" t="str">
        <f aca="false">IF(COUNTA(B461:M461)=0,"",SUMPRODUCT((ISNUMBER(B461:M461))*B461:M461))</f>
        <v/>
      </c>
      <c r="O461" s="60"/>
    </row>
    <row r="462" customFormat="false" ht="15" hidden="false" customHeight="true" outlineLevel="0" collapsed="false">
      <c r="A462" s="61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6" t="str">
        <f aca="false">IF(COUNTA(B462:M462)=0,"",SUMPRODUCT((ISNUMBER(B462:M462))*B462:M462))</f>
        <v/>
      </c>
      <c r="O462" s="62"/>
    </row>
    <row r="463" customFormat="false" ht="15" hidden="false" customHeight="true" outlineLevel="0" collapsed="false">
      <c r="A463" s="59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3" t="str">
        <f aca="false">IF(COUNTA(B463:M463)=0,"",SUMPRODUCT((ISNUMBER(B463:M463))*B463:M463))</f>
        <v/>
      </c>
      <c r="O463" s="60"/>
    </row>
    <row r="464" customFormat="false" ht="15" hidden="false" customHeight="true" outlineLevel="0" collapsed="false">
      <c r="A464" s="61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6" t="str">
        <f aca="false">IF(COUNTA(B464:M464)=0,"",SUMPRODUCT((ISNUMBER(B464:M464))*B464:M464))</f>
        <v/>
      </c>
      <c r="O464" s="62"/>
    </row>
    <row r="465" customFormat="false" ht="15" hidden="false" customHeight="true" outlineLevel="0" collapsed="false">
      <c r="A465" s="59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3" t="str">
        <f aca="false">IF(COUNTA(B465:M465)=0,"",SUMPRODUCT((ISNUMBER(B465:M465))*B465:M465))</f>
        <v/>
      </c>
      <c r="O465" s="60"/>
    </row>
    <row r="466" customFormat="false" ht="15" hidden="false" customHeight="true" outlineLevel="0" collapsed="false">
      <c r="A466" s="61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6" t="str">
        <f aca="false">IF(COUNTA(B466:M466)=0,"",SUMPRODUCT((ISNUMBER(B466:M466))*B466:M466))</f>
        <v/>
      </c>
      <c r="O466" s="62"/>
    </row>
    <row r="467" customFormat="false" ht="15" hidden="false" customHeight="true" outlineLevel="0" collapsed="false">
      <c r="A467" s="59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3" t="str">
        <f aca="false">IF(COUNTA(B467:M467)=0,"",SUMPRODUCT((ISNUMBER(B467:M467))*B467:M467))</f>
        <v/>
      </c>
      <c r="O467" s="60"/>
    </row>
    <row r="468" customFormat="false" ht="15" hidden="false" customHeight="true" outlineLevel="0" collapsed="false">
      <c r="A468" s="61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6" t="str">
        <f aca="false">IF(COUNTA(B468:M468)=0,"",SUMPRODUCT((ISNUMBER(B468:M468))*B468:M468))</f>
        <v/>
      </c>
      <c r="O468" s="62"/>
    </row>
    <row r="469" customFormat="false" ht="15" hidden="false" customHeight="true" outlineLevel="0" collapsed="false">
      <c r="A469" s="59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3" t="str">
        <f aca="false">IF(COUNTA(B469:M469)=0,"",SUMPRODUCT((ISNUMBER(B469:M469))*B469:M469))</f>
        <v/>
      </c>
      <c r="O469" s="60"/>
    </row>
    <row r="470" customFormat="false" ht="15" hidden="false" customHeight="true" outlineLevel="0" collapsed="false">
      <c r="A470" s="61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6" t="str">
        <f aca="false">IF(COUNTA(B470:M470)=0,"",SUMPRODUCT((ISNUMBER(B470:M470))*B470:M470))</f>
        <v/>
      </c>
      <c r="O470" s="62"/>
    </row>
    <row r="471" customFormat="false" ht="15" hidden="false" customHeight="true" outlineLevel="0" collapsed="false">
      <c r="A471" s="59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3" t="str">
        <f aca="false">IF(COUNTA(B471:M471)=0,"",SUMPRODUCT((ISNUMBER(B471:M471))*B471:M471))</f>
        <v/>
      </c>
      <c r="O471" s="60"/>
    </row>
    <row r="472" customFormat="false" ht="15" hidden="false" customHeight="true" outlineLevel="0" collapsed="false">
      <c r="A472" s="61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6" t="str">
        <f aca="false">IF(COUNTA(B472:M472)=0,"",SUMPRODUCT((ISNUMBER(B472:M472))*B472:M472))</f>
        <v/>
      </c>
      <c r="O472" s="62"/>
    </row>
    <row r="473" customFormat="false" ht="15" hidden="false" customHeight="true" outlineLevel="0" collapsed="false">
      <c r="A473" s="59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3" t="str">
        <f aca="false">IF(COUNTA(B473:M473)=0,"",SUMPRODUCT((ISNUMBER(B473:M473))*B473:M473))</f>
        <v/>
      </c>
      <c r="O473" s="60"/>
    </row>
    <row r="474" customFormat="false" ht="15" hidden="false" customHeight="true" outlineLevel="0" collapsed="false">
      <c r="A474" s="61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6" t="str">
        <f aca="false">IF(COUNTA(B474:M474)=0,"",SUMPRODUCT((ISNUMBER(B474:M474))*B474:M474))</f>
        <v/>
      </c>
      <c r="O474" s="62"/>
    </row>
    <row r="475" customFormat="false" ht="15" hidden="false" customHeight="true" outlineLevel="0" collapsed="false">
      <c r="A475" s="59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3" t="str">
        <f aca="false">IF(COUNTA(B475:M475)=0,"",SUMPRODUCT((ISNUMBER(B475:M475))*B475:M475))</f>
        <v/>
      </c>
      <c r="O475" s="60"/>
    </row>
    <row r="476" customFormat="false" ht="15" hidden="false" customHeight="true" outlineLevel="0" collapsed="false">
      <c r="A476" s="61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6" t="str">
        <f aca="false">IF(COUNTA(B476:M476)=0,"",SUMPRODUCT((ISNUMBER(B476:M476))*B476:M476))</f>
        <v/>
      </c>
      <c r="O476" s="62"/>
    </row>
    <row r="477" customFormat="false" ht="15" hidden="false" customHeight="true" outlineLevel="0" collapsed="false">
      <c r="A477" s="59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3" t="str">
        <f aca="false">IF(COUNTA(B477:M477)=0,"",SUMPRODUCT((ISNUMBER(B477:M477))*B477:M477))</f>
        <v/>
      </c>
      <c r="O477" s="60"/>
    </row>
    <row r="478" customFormat="false" ht="15" hidden="false" customHeight="true" outlineLevel="0" collapsed="false">
      <c r="A478" s="61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6" t="str">
        <f aca="false">IF(COUNTA(B478:M478)=0,"",SUMPRODUCT((ISNUMBER(B478:M478))*B478:M478))</f>
        <v/>
      </c>
      <c r="O478" s="62"/>
    </row>
    <row r="479" customFormat="false" ht="15" hidden="false" customHeight="true" outlineLevel="0" collapsed="false">
      <c r="A479" s="59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3" t="str">
        <f aca="false">IF(COUNTA(B479:M479)=0,"",SUMPRODUCT((ISNUMBER(B479:M479))*B479:M479))</f>
        <v/>
      </c>
      <c r="O479" s="60"/>
    </row>
    <row r="480" customFormat="false" ht="15" hidden="false" customHeight="true" outlineLevel="0" collapsed="false">
      <c r="A480" s="61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6" t="str">
        <f aca="false">IF(COUNTA(B480:M480)=0,"",SUMPRODUCT((ISNUMBER(B480:M480))*B480:M480))</f>
        <v/>
      </c>
      <c r="O480" s="62"/>
    </row>
    <row r="481" customFormat="false" ht="15" hidden="false" customHeight="true" outlineLevel="0" collapsed="false">
      <c r="A481" s="59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3" t="str">
        <f aca="false">IF(COUNTA(B481:M481)=0,"",SUMPRODUCT((ISNUMBER(B481:M481))*B481:M481))</f>
        <v/>
      </c>
      <c r="O481" s="60"/>
    </row>
    <row r="482" customFormat="false" ht="15" hidden="false" customHeight="true" outlineLevel="0" collapsed="false">
      <c r="A482" s="61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6" t="str">
        <f aca="false">IF(COUNTA(B482:M482)=0,"",SUMPRODUCT((ISNUMBER(B482:M482))*B482:M482))</f>
        <v/>
      </c>
      <c r="O482" s="62"/>
    </row>
    <row r="483" customFormat="false" ht="15" hidden="false" customHeight="true" outlineLevel="0" collapsed="false">
      <c r="A483" s="59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3" t="str">
        <f aca="false">IF(COUNTA(B483:M483)=0,"",SUMPRODUCT((ISNUMBER(B483:M483))*B483:M483))</f>
        <v/>
      </c>
      <c r="O483" s="60"/>
    </row>
    <row r="484" customFormat="false" ht="15" hidden="false" customHeight="true" outlineLevel="0" collapsed="false">
      <c r="A484" s="61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6" t="str">
        <f aca="false">IF(COUNTA(B484:M484)=0,"",SUMPRODUCT((ISNUMBER(B484:M484))*B484:M484))</f>
        <v/>
      </c>
      <c r="O484" s="62"/>
    </row>
    <row r="485" customFormat="false" ht="15" hidden="false" customHeight="true" outlineLevel="0" collapsed="false">
      <c r="A485" s="59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3" t="str">
        <f aca="false">IF(COUNTA(B485:M485)=0,"",SUMPRODUCT((ISNUMBER(B485:M485))*B485:M485))</f>
        <v/>
      </c>
      <c r="O485" s="60"/>
    </row>
    <row r="486" customFormat="false" ht="15" hidden="false" customHeight="true" outlineLevel="0" collapsed="false">
      <c r="A486" s="61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6" t="str">
        <f aca="false">IF(COUNTA(B486:M486)=0,"",SUMPRODUCT((ISNUMBER(B486:M486))*B486:M486))</f>
        <v/>
      </c>
      <c r="O486" s="62"/>
    </row>
    <row r="487" customFormat="false" ht="15" hidden="false" customHeight="true" outlineLevel="0" collapsed="false">
      <c r="A487" s="59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3" t="str">
        <f aca="false">IF(COUNTA(B487:M487)=0,"",SUMPRODUCT((ISNUMBER(B487:M487))*B487:M487))</f>
        <v/>
      </c>
      <c r="O487" s="60"/>
    </row>
    <row r="488" customFormat="false" ht="15" hidden="false" customHeight="true" outlineLevel="0" collapsed="false">
      <c r="A488" s="61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6" t="str">
        <f aca="false">IF(COUNTA(B488:M488)=0,"",SUMPRODUCT((ISNUMBER(B488:M488))*B488:M488))</f>
        <v/>
      </c>
      <c r="O488" s="62"/>
    </row>
    <row r="489" customFormat="false" ht="15" hidden="false" customHeight="true" outlineLevel="0" collapsed="false">
      <c r="A489" s="59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3" t="str">
        <f aca="false">IF(COUNTA(B489:M489)=0,"",SUMPRODUCT((ISNUMBER(B489:M489))*B489:M489))</f>
        <v/>
      </c>
      <c r="O489" s="60"/>
    </row>
    <row r="490" customFormat="false" ht="15" hidden="false" customHeight="true" outlineLevel="0" collapsed="false">
      <c r="A490" s="61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6" t="str">
        <f aca="false">IF(COUNTA(B490:M490)=0,"",SUMPRODUCT((ISNUMBER(B490:M490))*B490:M490))</f>
        <v/>
      </c>
      <c r="O490" s="62"/>
    </row>
    <row r="491" customFormat="false" ht="15" hidden="false" customHeight="true" outlineLevel="0" collapsed="false">
      <c r="A491" s="59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3" t="str">
        <f aca="false">IF(COUNTA(B491:M491)=0,"",SUMPRODUCT((ISNUMBER(B491:M491))*B491:M491))</f>
        <v/>
      </c>
      <c r="O491" s="60"/>
    </row>
    <row r="492" customFormat="false" ht="15" hidden="false" customHeight="true" outlineLevel="0" collapsed="false">
      <c r="A492" s="61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6" t="str">
        <f aca="false">IF(COUNTA(B492:M492)=0,"",SUMPRODUCT((ISNUMBER(B492:M492))*B492:M492))</f>
        <v/>
      </c>
      <c r="O492" s="62"/>
    </row>
    <row r="493" customFormat="false" ht="15" hidden="false" customHeight="true" outlineLevel="0" collapsed="false">
      <c r="A493" s="59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3" t="str">
        <f aca="false">IF(COUNTA(B493:M493)=0,"",SUMPRODUCT((ISNUMBER(B493:M493))*B493:M493))</f>
        <v/>
      </c>
      <c r="O493" s="60"/>
    </row>
    <row r="494" customFormat="false" ht="15" hidden="false" customHeight="true" outlineLevel="0" collapsed="false">
      <c r="A494" s="61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6" t="str">
        <f aca="false">IF(COUNTA(B494:M494)=0,"",SUMPRODUCT((ISNUMBER(B494:M494))*B494:M494))</f>
        <v/>
      </c>
      <c r="O494" s="62"/>
    </row>
    <row r="495" customFormat="false" ht="15" hidden="false" customHeight="true" outlineLevel="0" collapsed="false">
      <c r="A495" s="59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3" t="str">
        <f aca="false">IF(COUNTA(B495:M495)=0,"",SUMPRODUCT((ISNUMBER(B495:M495))*B495:M495))</f>
        <v/>
      </c>
      <c r="O495" s="60"/>
    </row>
    <row r="496" customFormat="false" ht="15" hidden="false" customHeight="true" outlineLevel="0" collapsed="false">
      <c r="A496" s="61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6" t="str">
        <f aca="false">IF(COUNTA(B496:M496)=0,"",SUMPRODUCT((ISNUMBER(B496:M496))*B496:M496))</f>
        <v/>
      </c>
      <c r="O496" s="62"/>
    </row>
    <row r="497" customFormat="false" ht="15" hidden="false" customHeight="true" outlineLevel="0" collapsed="false">
      <c r="A497" s="59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3" t="str">
        <f aca="false">IF(COUNTA(B497:M497)=0,"",SUMPRODUCT((ISNUMBER(B497:M497))*B497:M497))</f>
        <v/>
      </c>
      <c r="O497" s="60"/>
    </row>
    <row r="498" customFormat="false" ht="15" hidden="false" customHeight="true" outlineLevel="0" collapsed="false">
      <c r="A498" s="61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6" t="str">
        <f aca="false">IF(COUNTA(B498:M498)=0,"",SUMPRODUCT((ISNUMBER(B498:M498))*B498:M498))</f>
        <v/>
      </c>
      <c r="O498" s="62"/>
    </row>
    <row r="499" customFormat="false" ht="15" hidden="false" customHeight="true" outlineLevel="0" collapsed="false">
      <c r="A499" s="59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3" t="str">
        <f aca="false">IF(COUNTA(B499:M499)=0,"",SUMPRODUCT((ISNUMBER(B499:M499))*B499:M499))</f>
        <v/>
      </c>
      <c r="O499" s="60"/>
    </row>
    <row r="500" customFormat="false" ht="15" hidden="false" customHeight="true" outlineLevel="0" collapsed="false">
      <c r="A500" s="61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6" t="str">
        <f aca="false">IF(COUNTA(B500:M500)=0,"",SUMPRODUCT((ISNUMBER(B500:M500))*B500:M500))</f>
        <v/>
      </c>
      <c r="O500" s="62"/>
    </row>
    <row r="501" customFormat="false" ht="15" hidden="false" customHeight="true" outlineLevel="0" collapsed="false">
      <c r="A501" s="59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3" t="str">
        <f aca="false">IF(COUNTA(B501:M501)=0,"",SUMPRODUCT((ISNUMBER(B501:M501))*B501:M501))</f>
        <v/>
      </c>
      <c r="O501" s="60"/>
    </row>
    <row r="502" customFormat="false" ht="15" hidden="false" customHeight="true" outlineLevel="0" collapsed="false">
      <c r="A502" s="61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6" t="str">
        <f aca="false">IF(COUNTA(B502:M502)=0,"",SUMPRODUCT((ISNUMBER(B502:M502))*B502:M502))</f>
        <v/>
      </c>
      <c r="O502" s="62"/>
    </row>
    <row r="503" customFormat="false" ht="15" hidden="false" customHeight="true" outlineLevel="0" collapsed="false">
      <c r="A503" s="59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3" t="str">
        <f aca="false">IF(COUNTA(B503:M503)=0,"",SUMPRODUCT((ISNUMBER(B503:M503))*B503:M503))</f>
        <v/>
      </c>
      <c r="O503" s="60"/>
    </row>
    <row r="504" customFormat="false" ht="15" hidden="false" customHeight="true" outlineLevel="0" collapsed="false">
      <c r="A504" s="61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6" t="str">
        <f aca="false">IF(COUNTA(B504:M504)=0,"",SUMPRODUCT((ISNUMBER(B504:M504))*B504:M504))</f>
        <v/>
      </c>
      <c r="O504" s="62"/>
    </row>
    <row r="505" customFormat="false" ht="15" hidden="false" customHeight="true" outlineLevel="0" collapsed="false">
      <c r="A505" s="59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3" t="str">
        <f aca="false">IF(COUNTA(B505:M505)=0,"",SUMPRODUCT((ISNUMBER(B505:M505))*B505:M505))</f>
        <v/>
      </c>
      <c r="O505" s="60"/>
    </row>
    <row r="506" customFormat="false" ht="15" hidden="false" customHeight="true" outlineLevel="0" collapsed="false">
      <c r="A506" s="61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6" t="str">
        <f aca="false">IF(COUNTA(B506:M506)=0,"",SUMPRODUCT((ISNUMBER(B506:M506))*B506:M506))</f>
        <v/>
      </c>
      <c r="O506" s="62"/>
    </row>
    <row r="507" customFormat="false" ht="15" hidden="false" customHeight="false" outlineLevel="0" collapsed="false"/>
    <row r="508" customFormat="false" ht="15" hidden="false" customHeight="false" outlineLevel="0" collapsed="false"/>
    <row r="509" customFormat="false" ht="4.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customFormat="false" ht="19.5" hidden="false" customHeight="true" outlineLevel="0" collapsed="false">
      <c r="A510" s="24" t="s">
        <v>27</v>
      </c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</row>
  </sheetData>
  <mergeCells count="6">
    <mergeCell ref="A1:O1"/>
    <mergeCell ref="A2:O2"/>
    <mergeCell ref="A3:O3"/>
    <mergeCell ref="A4:O4"/>
    <mergeCell ref="A509:O509"/>
    <mergeCell ref="A510:O5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A7517"/>
    <pageSetUpPr fitToPage="false"/>
  </sheetPr>
  <dimension ref="A1:AL5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7" min="2" style="0" width="6"/>
    <col collapsed="false" customWidth="true" hidden="false" outlineLevel="0" max="38" min="38" style="0" width="20"/>
  </cols>
  <sheetData>
    <row r="1" customFormat="false" ht="36" hidden="false" customHeight="true" outlineLevel="0" collapsed="false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customFormat="false" ht="21.75" hidden="false" customHeight="true" outlineLevel="0" collapsed="false">
      <c r="A4" s="58" t="s">
        <v>117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</row>
    <row r="5" customFormat="false" ht="3.75" hidden="false" customHeight="true" outlineLevel="0" collapsed="false"/>
    <row r="6" customFormat="false" ht="25.5" hidden="false" customHeight="true" outlineLevel="0" collapsed="false">
      <c r="A6" s="63" t="s">
        <v>104</v>
      </c>
      <c r="B6" s="64" t="s">
        <v>52</v>
      </c>
      <c r="C6" s="64"/>
      <c r="D6" s="64"/>
      <c r="E6" s="64" t="s">
        <v>53</v>
      </c>
      <c r="F6" s="64"/>
      <c r="G6" s="64"/>
      <c r="H6" s="64" t="s">
        <v>54</v>
      </c>
      <c r="I6" s="64"/>
      <c r="J6" s="64"/>
      <c r="K6" s="64" t="s">
        <v>55</v>
      </c>
      <c r="L6" s="64"/>
      <c r="M6" s="64"/>
      <c r="N6" s="64" t="s">
        <v>56</v>
      </c>
      <c r="O6" s="64"/>
      <c r="P6" s="64"/>
      <c r="Q6" s="64" t="s">
        <v>57</v>
      </c>
      <c r="R6" s="64"/>
      <c r="S6" s="64"/>
      <c r="T6" s="64" t="s">
        <v>58</v>
      </c>
      <c r="U6" s="64"/>
      <c r="V6" s="64"/>
      <c r="W6" s="64" t="s">
        <v>58</v>
      </c>
      <c r="X6" s="64"/>
      <c r="Y6" s="64"/>
      <c r="Z6" s="64" t="s">
        <v>58</v>
      </c>
      <c r="AA6" s="64"/>
      <c r="AB6" s="64"/>
      <c r="AC6" s="64" t="s">
        <v>59</v>
      </c>
      <c r="AD6" s="64"/>
      <c r="AE6" s="64"/>
      <c r="AF6" s="64" t="s">
        <v>60</v>
      </c>
      <c r="AG6" s="64"/>
      <c r="AH6" s="64"/>
      <c r="AI6" s="64" t="s">
        <v>25</v>
      </c>
      <c r="AJ6" s="64"/>
      <c r="AK6" s="64"/>
      <c r="AL6" s="65" t="s">
        <v>115</v>
      </c>
    </row>
    <row r="7" customFormat="false" ht="18" hidden="false" customHeight="true" outlineLevel="0" collapsed="false">
      <c r="A7" s="66"/>
      <c r="B7" s="67" t="s">
        <v>118</v>
      </c>
      <c r="C7" s="68" t="s">
        <v>119</v>
      </c>
      <c r="D7" s="69" t="s">
        <v>120</v>
      </c>
      <c r="E7" s="67" t="s">
        <v>118</v>
      </c>
      <c r="F7" s="68" t="s">
        <v>119</v>
      </c>
      <c r="G7" s="69" t="s">
        <v>120</v>
      </c>
      <c r="H7" s="67" t="s">
        <v>118</v>
      </c>
      <c r="I7" s="68" t="s">
        <v>119</v>
      </c>
      <c r="J7" s="69" t="s">
        <v>120</v>
      </c>
      <c r="K7" s="67" t="s">
        <v>118</v>
      </c>
      <c r="L7" s="68" t="s">
        <v>119</v>
      </c>
      <c r="M7" s="69" t="s">
        <v>120</v>
      </c>
      <c r="N7" s="67" t="s">
        <v>118</v>
      </c>
      <c r="O7" s="68" t="s">
        <v>119</v>
      </c>
      <c r="P7" s="69" t="s">
        <v>120</v>
      </c>
      <c r="Q7" s="67" t="s">
        <v>118</v>
      </c>
      <c r="R7" s="68" t="s">
        <v>119</v>
      </c>
      <c r="S7" s="69" t="s">
        <v>120</v>
      </c>
      <c r="T7" s="67" t="s">
        <v>118</v>
      </c>
      <c r="U7" s="68" t="s">
        <v>119</v>
      </c>
      <c r="V7" s="69" t="s">
        <v>120</v>
      </c>
      <c r="W7" s="67" t="s">
        <v>118</v>
      </c>
      <c r="X7" s="68" t="s">
        <v>119</v>
      </c>
      <c r="Y7" s="69" t="s">
        <v>120</v>
      </c>
      <c r="Z7" s="67" t="s">
        <v>118</v>
      </c>
      <c r="AA7" s="68" t="s">
        <v>119</v>
      </c>
      <c r="AB7" s="69" t="s">
        <v>120</v>
      </c>
      <c r="AC7" s="67" t="s">
        <v>118</v>
      </c>
      <c r="AD7" s="68" t="s">
        <v>119</v>
      </c>
      <c r="AE7" s="69" t="s">
        <v>120</v>
      </c>
      <c r="AF7" s="67" t="s">
        <v>118</v>
      </c>
      <c r="AG7" s="68" t="s">
        <v>119</v>
      </c>
      <c r="AH7" s="69" t="s">
        <v>120</v>
      </c>
      <c r="AI7" s="67" t="s">
        <v>118</v>
      </c>
      <c r="AJ7" s="68" t="s">
        <v>119</v>
      </c>
      <c r="AK7" s="69" t="s">
        <v>120</v>
      </c>
      <c r="AL7" s="66"/>
    </row>
    <row r="8" customFormat="false" ht="13.5" hidden="false" customHeight="true" outlineLevel="0" collapsed="false">
      <c r="A8" s="59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</row>
    <row r="9" customFormat="false" ht="13.5" hidden="false" customHeight="true" outlineLevel="0" collapsed="false">
      <c r="A9" s="61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</row>
    <row r="10" customFormat="false" ht="13.5" hidden="false" customHeight="true" outlineLevel="0" collapsed="false">
      <c r="A10" s="59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</row>
    <row r="11" customFormat="false" ht="13.5" hidden="false" customHeight="true" outlineLevel="0" collapsed="false">
      <c r="A11" s="61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</row>
    <row r="12" customFormat="false" ht="13.5" hidden="false" customHeight="true" outlineLevel="0" collapsed="false">
      <c r="A12" s="59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</row>
    <row r="13" customFormat="false" ht="13.5" hidden="false" customHeight="true" outlineLevel="0" collapsed="false">
      <c r="A13" s="61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</row>
    <row r="14" customFormat="false" ht="13.5" hidden="false" customHeight="true" outlineLevel="0" collapsed="false">
      <c r="A14" s="59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</row>
    <row r="15" customFormat="false" ht="13.5" hidden="false" customHeight="true" outlineLevel="0" collapsed="false">
      <c r="A15" s="61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</row>
    <row r="16" customFormat="false" ht="13.5" hidden="false" customHeight="true" outlineLevel="0" collapsed="false">
      <c r="A16" s="59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</row>
    <row r="17" customFormat="false" ht="13.5" hidden="false" customHeight="true" outlineLevel="0" collapsed="false">
      <c r="A17" s="61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</row>
    <row r="18" customFormat="false" ht="13.5" hidden="false" customHeight="true" outlineLevel="0" collapsed="false">
      <c r="A18" s="59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</row>
    <row r="19" customFormat="false" ht="13.5" hidden="false" customHeight="true" outlineLevel="0" collapsed="false">
      <c r="A19" s="61"/>
      <c r="B19" s="45"/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</row>
    <row r="20" customFormat="false" ht="13.5" hidden="false" customHeight="true" outlineLevel="0" collapsed="false">
      <c r="A20" s="59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</row>
    <row r="21" customFormat="false" ht="13.5" hidden="false" customHeight="true" outlineLevel="0" collapsed="false">
      <c r="A21" s="61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</row>
    <row r="22" customFormat="false" ht="13.5" hidden="false" customHeight="true" outlineLevel="0" collapsed="false">
      <c r="A22" s="59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</row>
    <row r="23" customFormat="false" ht="13.5" hidden="false" customHeight="true" outlineLevel="0" collapsed="false">
      <c r="A23" s="61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</row>
    <row r="24" customFormat="false" ht="13.5" hidden="false" customHeight="true" outlineLevel="0" collapsed="false">
      <c r="A24" s="59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</row>
    <row r="25" customFormat="false" ht="13.5" hidden="false" customHeight="true" outlineLevel="0" collapsed="false">
      <c r="A25" s="61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</row>
    <row r="26" customFormat="false" ht="13.5" hidden="false" customHeight="true" outlineLevel="0" collapsed="false">
      <c r="A26" s="59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</row>
    <row r="27" customFormat="false" ht="13.5" hidden="false" customHeight="true" outlineLevel="0" collapsed="false">
      <c r="A27" s="61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</row>
    <row r="28" customFormat="false" ht="13.5" hidden="false" customHeight="true" outlineLevel="0" collapsed="false">
      <c r="A28" s="59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</row>
    <row r="29" customFormat="false" ht="13.5" hidden="false" customHeight="true" outlineLevel="0" collapsed="false">
      <c r="A29" s="61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</row>
    <row r="30" customFormat="false" ht="13.5" hidden="false" customHeight="true" outlineLevel="0" collapsed="false">
      <c r="A30" s="59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</row>
    <row r="31" customFormat="false" ht="13.5" hidden="false" customHeight="true" outlineLevel="0" collapsed="false">
      <c r="A31" s="61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</row>
    <row r="32" customFormat="false" ht="13.5" hidden="false" customHeight="true" outlineLevel="0" collapsed="false">
      <c r="A32" s="5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</row>
    <row r="33" customFormat="false" ht="13.5" hidden="false" customHeight="true" outlineLevel="0" collapsed="false">
      <c r="A33" s="61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</row>
    <row r="34" customFormat="false" ht="13.5" hidden="false" customHeight="true" outlineLevel="0" collapsed="false">
      <c r="A34" s="59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5" customFormat="false" ht="13.5" hidden="false" customHeight="true" outlineLevel="0" collapsed="false">
      <c r="A35" s="61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</row>
    <row r="36" customFormat="false" ht="13.5" hidden="false" customHeight="true" outlineLevel="0" collapsed="false">
      <c r="A36" s="59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</row>
    <row r="37" customFormat="false" ht="13.5" hidden="false" customHeight="true" outlineLevel="0" collapsed="false">
      <c r="A37" s="61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</row>
    <row r="38" customFormat="false" ht="13.5" hidden="false" customHeight="true" outlineLevel="0" collapsed="false">
      <c r="A38" s="59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</row>
    <row r="39" customFormat="false" ht="13.5" hidden="false" customHeight="true" outlineLevel="0" collapsed="false">
      <c r="A39" s="61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</row>
    <row r="40" customFormat="false" ht="13.5" hidden="false" customHeight="true" outlineLevel="0" collapsed="false">
      <c r="A40" s="59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</row>
    <row r="41" customFormat="false" ht="13.5" hidden="false" customHeight="true" outlineLevel="0" collapsed="false">
      <c r="A41" s="61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</row>
    <row r="42" customFormat="false" ht="13.5" hidden="false" customHeight="true" outlineLevel="0" collapsed="false">
      <c r="A42" s="59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</row>
    <row r="43" customFormat="false" ht="13.5" hidden="false" customHeight="true" outlineLevel="0" collapsed="false">
      <c r="A43" s="61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</row>
    <row r="44" customFormat="false" ht="13.5" hidden="false" customHeight="true" outlineLevel="0" collapsed="false">
      <c r="A44" s="59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</row>
    <row r="45" customFormat="false" ht="13.5" hidden="false" customHeight="true" outlineLevel="0" collapsed="false">
      <c r="A45" s="61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</row>
    <row r="46" customFormat="false" ht="13.5" hidden="false" customHeight="true" outlineLevel="0" collapsed="false">
      <c r="A46" s="59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</row>
    <row r="47" customFormat="false" ht="13.5" hidden="false" customHeight="true" outlineLevel="0" collapsed="false">
      <c r="A47" s="61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</row>
    <row r="48" customFormat="false" ht="13.5" hidden="false" customHeight="true" outlineLevel="0" collapsed="false">
      <c r="A48" s="59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</row>
    <row r="49" customFormat="false" ht="13.5" hidden="false" customHeight="true" outlineLevel="0" collapsed="false">
      <c r="A49" s="61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</row>
    <row r="50" customFormat="false" ht="13.5" hidden="false" customHeight="true" outlineLevel="0" collapsed="false">
      <c r="A50" s="59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</row>
    <row r="51" customFormat="false" ht="13.5" hidden="false" customHeight="true" outlineLevel="0" collapsed="false">
      <c r="A51" s="61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</row>
    <row r="52" customFormat="false" ht="13.5" hidden="false" customHeight="true" outlineLevel="0" collapsed="false">
      <c r="A52" s="59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</row>
    <row r="53" customFormat="false" ht="13.5" hidden="false" customHeight="true" outlineLevel="0" collapsed="false">
      <c r="A53" s="61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</row>
    <row r="54" customFormat="false" ht="13.5" hidden="false" customHeight="true" outlineLevel="0" collapsed="false">
      <c r="A54" s="59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</row>
    <row r="55" customFormat="false" ht="13.5" hidden="false" customHeight="true" outlineLevel="0" collapsed="false">
      <c r="A55" s="61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</row>
    <row r="56" customFormat="false" ht="13.5" hidden="false" customHeight="true" outlineLevel="0" collapsed="false">
      <c r="A56" s="59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</row>
    <row r="57" customFormat="false" ht="13.5" hidden="false" customHeight="true" outlineLevel="0" collapsed="false">
      <c r="A57" s="61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</row>
    <row r="58" customFormat="false" ht="13.5" hidden="false" customHeight="true" outlineLevel="0" collapsed="false">
      <c r="A58" s="59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</row>
    <row r="59" customFormat="false" ht="13.5" hidden="false" customHeight="true" outlineLevel="0" collapsed="false">
      <c r="A59" s="61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</row>
    <row r="60" customFormat="false" ht="13.5" hidden="false" customHeight="true" outlineLevel="0" collapsed="false">
      <c r="A60" s="59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</row>
    <row r="61" customFormat="false" ht="13.5" hidden="false" customHeight="true" outlineLevel="0" collapsed="false">
      <c r="A61" s="61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customFormat="false" ht="13.5" hidden="false" customHeight="true" outlineLevel="0" collapsed="false">
      <c r="A62" s="59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</row>
    <row r="63" customFormat="false" ht="13.5" hidden="false" customHeight="true" outlineLevel="0" collapsed="false">
      <c r="A63" s="61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</row>
    <row r="64" customFormat="false" ht="13.5" hidden="false" customHeight="true" outlineLevel="0" collapsed="false">
      <c r="A64" s="59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</row>
    <row r="65" customFormat="false" ht="13.5" hidden="false" customHeight="true" outlineLevel="0" collapsed="false">
      <c r="A65" s="61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</row>
    <row r="66" customFormat="false" ht="13.5" hidden="false" customHeight="true" outlineLevel="0" collapsed="false">
      <c r="A66" s="59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</row>
    <row r="67" customFormat="false" ht="13.5" hidden="false" customHeight="true" outlineLevel="0" collapsed="false">
      <c r="A67" s="61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</row>
    <row r="68" customFormat="false" ht="13.5" hidden="false" customHeight="true" outlineLevel="0" collapsed="false">
      <c r="A68" s="59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</row>
    <row r="69" customFormat="false" ht="13.5" hidden="false" customHeight="true" outlineLevel="0" collapsed="false">
      <c r="A69" s="61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</row>
    <row r="70" customFormat="false" ht="13.5" hidden="false" customHeight="true" outlineLevel="0" collapsed="false">
      <c r="A70" s="59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</row>
    <row r="71" customFormat="false" ht="13.5" hidden="false" customHeight="true" outlineLevel="0" collapsed="false">
      <c r="A71" s="61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</row>
    <row r="72" customFormat="false" ht="13.5" hidden="false" customHeight="true" outlineLevel="0" collapsed="false">
      <c r="A72" s="59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</row>
    <row r="73" customFormat="false" ht="13.5" hidden="false" customHeight="true" outlineLevel="0" collapsed="false">
      <c r="A73" s="61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</row>
    <row r="74" customFormat="false" ht="13.5" hidden="false" customHeight="true" outlineLevel="0" collapsed="false">
      <c r="A74" s="59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</row>
    <row r="75" customFormat="false" ht="13.5" hidden="false" customHeight="true" outlineLevel="0" collapsed="false">
      <c r="A75" s="61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</row>
    <row r="76" customFormat="false" ht="13.5" hidden="false" customHeight="true" outlineLevel="0" collapsed="false">
      <c r="A76" s="59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</row>
    <row r="77" customFormat="false" ht="13.5" hidden="false" customHeight="true" outlineLevel="0" collapsed="false">
      <c r="A77" s="61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</row>
    <row r="78" customFormat="false" ht="13.5" hidden="false" customHeight="true" outlineLevel="0" collapsed="false">
      <c r="A78" s="59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</row>
    <row r="79" customFormat="false" ht="13.5" hidden="false" customHeight="true" outlineLevel="0" collapsed="false">
      <c r="A79" s="61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</row>
    <row r="80" customFormat="false" ht="13.5" hidden="false" customHeight="true" outlineLevel="0" collapsed="false">
      <c r="A80" s="59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</row>
    <row r="81" customFormat="false" ht="13.5" hidden="false" customHeight="true" outlineLevel="0" collapsed="false">
      <c r="A81" s="61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</row>
    <row r="82" customFormat="false" ht="13.5" hidden="false" customHeight="true" outlineLevel="0" collapsed="false">
      <c r="A82" s="59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</row>
    <row r="83" customFormat="false" ht="13.5" hidden="false" customHeight="true" outlineLevel="0" collapsed="false">
      <c r="A83" s="61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</row>
    <row r="84" customFormat="false" ht="13.5" hidden="false" customHeight="true" outlineLevel="0" collapsed="false">
      <c r="A84" s="59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</row>
    <row r="85" customFormat="false" ht="13.5" hidden="false" customHeight="true" outlineLevel="0" collapsed="false">
      <c r="A85" s="61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</row>
    <row r="86" customFormat="false" ht="13.5" hidden="false" customHeight="true" outlineLevel="0" collapsed="false">
      <c r="A86" s="59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</row>
    <row r="87" customFormat="false" ht="13.5" hidden="false" customHeight="true" outlineLevel="0" collapsed="false">
      <c r="A87" s="61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</row>
    <row r="88" customFormat="false" ht="13.5" hidden="false" customHeight="true" outlineLevel="0" collapsed="false">
      <c r="A88" s="59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</row>
    <row r="89" customFormat="false" ht="13.5" hidden="false" customHeight="true" outlineLevel="0" collapsed="false">
      <c r="A89" s="61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</row>
    <row r="90" customFormat="false" ht="13.5" hidden="false" customHeight="true" outlineLevel="0" collapsed="false">
      <c r="A90" s="59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</row>
    <row r="91" customFormat="false" ht="13.5" hidden="false" customHeight="true" outlineLevel="0" collapsed="false">
      <c r="A91" s="61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</row>
    <row r="92" customFormat="false" ht="13.5" hidden="false" customHeight="true" outlineLevel="0" collapsed="false">
      <c r="A92" s="59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</row>
    <row r="93" customFormat="false" ht="13.5" hidden="false" customHeight="true" outlineLevel="0" collapsed="false">
      <c r="A93" s="61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</row>
    <row r="94" customFormat="false" ht="13.5" hidden="false" customHeight="true" outlineLevel="0" collapsed="false">
      <c r="A94" s="59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</row>
    <row r="95" customFormat="false" ht="13.5" hidden="false" customHeight="true" outlineLevel="0" collapsed="false">
      <c r="A95" s="61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</row>
    <row r="96" customFormat="false" ht="13.5" hidden="false" customHeight="true" outlineLevel="0" collapsed="false">
      <c r="A96" s="59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</row>
    <row r="97" customFormat="false" ht="13.5" hidden="false" customHeight="true" outlineLevel="0" collapsed="false">
      <c r="A97" s="61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</row>
    <row r="98" customFormat="false" ht="13.5" hidden="false" customHeight="true" outlineLevel="0" collapsed="false">
      <c r="A98" s="59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</row>
    <row r="99" customFormat="false" ht="13.5" hidden="false" customHeight="true" outlineLevel="0" collapsed="false">
      <c r="A99" s="61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</row>
    <row r="100" customFormat="false" ht="13.5" hidden="false" customHeight="true" outlineLevel="0" collapsed="false">
      <c r="A100" s="59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</row>
    <row r="101" customFormat="false" ht="13.5" hidden="false" customHeight="true" outlineLevel="0" collapsed="false">
      <c r="A101" s="61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</row>
    <row r="102" customFormat="false" ht="13.5" hidden="false" customHeight="true" outlineLevel="0" collapsed="false">
      <c r="A102" s="59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</row>
    <row r="103" customFormat="false" ht="13.5" hidden="false" customHeight="true" outlineLevel="0" collapsed="false">
      <c r="A103" s="61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</row>
    <row r="104" customFormat="false" ht="13.5" hidden="false" customHeight="true" outlineLevel="0" collapsed="false">
      <c r="A104" s="59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</row>
    <row r="105" customFormat="false" ht="13.5" hidden="false" customHeight="true" outlineLevel="0" collapsed="false">
      <c r="A105" s="61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</row>
    <row r="106" customFormat="false" ht="13.5" hidden="false" customHeight="true" outlineLevel="0" collapsed="false">
      <c r="A106" s="59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</row>
    <row r="107" customFormat="false" ht="13.5" hidden="false" customHeight="true" outlineLevel="0" collapsed="false">
      <c r="A107" s="61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</row>
    <row r="108" customFormat="false" ht="13.5" hidden="false" customHeight="true" outlineLevel="0" collapsed="false">
      <c r="A108" s="59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</row>
    <row r="109" customFormat="false" ht="13.5" hidden="false" customHeight="true" outlineLevel="0" collapsed="false">
      <c r="A109" s="61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</row>
    <row r="110" customFormat="false" ht="13.5" hidden="false" customHeight="true" outlineLevel="0" collapsed="false">
      <c r="A110" s="59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</row>
    <row r="111" customFormat="false" ht="13.5" hidden="false" customHeight="true" outlineLevel="0" collapsed="false">
      <c r="A111" s="61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</row>
    <row r="112" customFormat="false" ht="13.5" hidden="false" customHeight="true" outlineLevel="0" collapsed="false">
      <c r="A112" s="59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</row>
    <row r="113" customFormat="false" ht="13.5" hidden="false" customHeight="true" outlineLevel="0" collapsed="false">
      <c r="A113" s="61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</row>
    <row r="114" customFormat="false" ht="13.5" hidden="false" customHeight="true" outlineLevel="0" collapsed="false">
      <c r="A114" s="59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</row>
    <row r="115" customFormat="false" ht="13.5" hidden="false" customHeight="true" outlineLevel="0" collapsed="false">
      <c r="A115" s="61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</row>
    <row r="116" customFormat="false" ht="13.5" hidden="false" customHeight="true" outlineLevel="0" collapsed="false">
      <c r="A116" s="59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</row>
    <row r="117" customFormat="false" ht="13.5" hidden="false" customHeight="true" outlineLevel="0" collapsed="false">
      <c r="A117" s="61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</row>
    <row r="118" customFormat="false" ht="13.5" hidden="false" customHeight="true" outlineLevel="0" collapsed="false">
      <c r="A118" s="59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</row>
    <row r="119" customFormat="false" ht="13.5" hidden="false" customHeight="true" outlineLevel="0" collapsed="false">
      <c r="A119" s="61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</row>
    <row r="120" customFormat="false" ht="13.5" hidden="false" customHeight="true" outlineLevel="0" collapsed="false">
      <c r="A120" s="59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</row>
    <row r="121" customFormat="false" ht="13.5" hidden="false" customHeight="true" outlineLevel="0" collapsed="false">
      <c r="A121" s="61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</row>
    <row r="122" customFormat="false" ht="13.5" hidden="false" customHeight="true" outlineLevel="0" collapsed="false">
      <c r="A122" s="59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</row>
    <row r="123" customFormat="false" ht="13.5" hidden="false" customHeight="true" outlineLevel="0" collapsed="false">
      <c r="A123" s="61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</row>
    <row r="124" customFormat="false" ht="13.5" hidden="false" customHeight="true" outlineLevel="0" collapsed="false">
      <c r="A124" s="59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</row>
    <row r="125" customFormat="false" ht="13.5" hidden="false" customHeight="true" outlineLevel="0" collapsed="false">
      <c r="A125" s="61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  <c r="AK125" s="45"/>
      <c r="AL125" s="45"/>
    </row>
    <row r="126" customFormat="false" ht="13.5" hidden="false" customHeight="true" outlineLevel="0" collapsed="false">
      <c r="A126" s="59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</row>
    <row r="127" customFormat="false" ht="13.5" hidden="false" customHeight="true" outlineLevel="0" collapsed="false">
      <c r="A127" s="61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  <c r="AK127" s="45"/>
      <c r="AL127" s="45"/>
    </row>
    <row r="128" customFormat="false" ht="13.5" hidden="false" customHeight="true" outlineLevel="0" collapsed="false">
      <c r="A128" s="59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</row>
    <row r="129" customFormat="false" ht="13.5" hidden="false" customHeight="true" outlineLevel="0" collapsed="false">
      <c r="A129" s="61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</row>
    <row r="130" customFormat="false" ht="13.5" hidden="false" customHeight="true" outlineLevel="0" collapsed="false">
      <c r="A130" s="59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</row>
    <row r="131" customFormat="false" ht="13.5" hidden="false" customHeight="true" outlineLevel="0" collapsed="false">
      <c r="A131" s="61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</row>
    <row r="132" customFormat="false" ht="13.5" hidden="false" customHeight="true" outlineLevel="0" collapsed="false">
      <c r="A132" s="59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</row>
    <row r="133" customFormat="false" ht="13.5" hidden="false" customHeight="true" outlineLevel="0" collapsed="false">
      <c r="A133" s="61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  <c r="AK133" s="45"/>
      <c r="AL133" s="45"/>
    </row>
    <row r="134" customFormat="false" ht="13.5" hidden="false" customHeight="true" outlineLevel="0" collapsed="false">
      <c r="A134" s="59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</row>
    <row r="135" customFormat="false" ht="13.5" hidden="false" customHeight="true" outlineLevel="0" collapsed="false">
      <c r="A135" s="61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  <c r="AK135" s="45"/>
      <c r="AL135" s="45"/>
    </row>
    <row r="136" customFormat="false" ht="13.5" hidden="false" customHeight="true" outlineLevel="0" collapsed="false">
      <c r="A136" s="59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</row>
    <row r="137" customFormat="false" ht="13.5" hidden="false" customHeight="true" outlineLevel="0" collapsed="false">
      <c r="A137" s="61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  <c r="AI137" s="45"/>
      <c r="AJ137" s="45"/>
      <c r="AK137" s="45"/>
      <c r="AL137" s="45"/>
    </row>
    <row r="138" customFormat="false" ht="13.5" hidden="false" customHeight="true" outlineLevel="0" collapsed="false">
      <c r="A138" s="59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</row>
    <row r="139" customFormat="false" ht="13.5" hidden="false" customHeight="true" outlineLevel="0" collapsed="false">
      <c r="A139" s="61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5"/>
    </row>
    <row r="140" customFormat="false" ht="13.5" hidden="false" customHeight="true" outlineLevel="0" collapsed="false">
      <c r="A140" s="59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</row>
    <row r="141" customFormat="false" ht="13.5" hidden="false" customHeight="true" outlineLevel="0" collapsed="false">
      <c r="A141" s="61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</row>
    <row r="142" customFormat="false" ht="13.5" hidden="false" customHeight="true" outlineLevel="0" collapsed="false">
      <c r="A142" s="59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</row>
    <row r="143" customFormat="false" ht="13.5" hidden="false" customHeight="true" outlineLevel="0" collapsed="false">
      <c r="A143" s="61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  <c r="AI143" s="45"/>
      <c r="AJ143" s="45"/>
      <c r="AK143" s="45"/>
      <c r="AL143" s="45"/>
    </row>
    <row r="144" customFormat="false" ht="13.5" hidden="false" customHeight="true" outlineLevel="0" collapsed="false">
      <c r="A144" s="59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</row>
    <row r="145" customFormat="false" ht="13.5" hidden="false" customHeight="true" outlineLevel="0" collapsed="false">
      <c r="A145" s="61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  <c r="AK145" s="45"/>
      <c r="AL145" s="45"/>
    </row>
    <row r="146" customFormat="false" ht="13.5" hidden="false" customHeight="true" outlineLevel="0" collapsed="false">
      <c r="A146" s="59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</row>
    <row r="147" customFormat="false" ht="13.5" hidden="false" customHeight="true" outlineLevel="0" collapsed="false">
      <c r="A147" s="61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  <c r="AK147" s="45"/>
      <c r="AL147" s="45"/>
    </row>
    <row r="148" customFormat="false" ht="13.5" hidden="false" customHeight="true" outlineLevel="0" collapsed="false">
      <c r="A148" s="59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</row>
    <row r="149" customFormat="false" ht="13.5" hidden="false" customHeight="true" outlineLevel="0" collapsed="false">
      <c r="A149" s="61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  <c r="AK149" s="45"/>
      <c r="AL149" s="45"/>
    </row>
    <row r="150" customFormat="false" ht="13.5" hidden="false" customHeight="true" outlineLevel="0" collapsed="false">
      <c r="A150" s="59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</row>
    <row r="151" customFormat="false" ht="13.5" hidden="false" customHeight="true" outlineLevel="0" collapsed="false">
      <c r="A151" s="61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  <c r="AI151" s="45"/>
      <c r="AJ151" s="45"/>
      <c r="AK151" s="45"/>
      <c r="AL151" s="45"/>
    </row>
    <row r="152" customFormat="false" ht="13.5" hidden="false" customHeight="true" outlineLevel="0" collapsed="false">
      <c r="A152" s="59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</row>
    <row r="153" customFormat="false" ht="13.5" hidden="false" customHeight="true" outlineLevel="0" collapsed="false">
      <c r="A153" s="61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  <c r="AI153" s="45"/>
      <c r="AJ153" s="45"/>
      <c r="AK153" s="45"/>
      <c r="AL153" s="45"/>
    </row>
    <row r="154" customFormat="false" ht="13.5" hidden="false" customHeight="true" outlineLevel="0" collapsed="false">
      <c r="A154" s="59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</row>
    <row r="155" customFormat="false" ht="13.5" hidden="false" customHeight="true" outlineLevel="0" collapsed="false">
      <c r="A155" s="61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  <c r="AI155" s="45"/>
      <c r="AJ155" s="45"/>
      <c r="AK155" s="45"/>
      <c r="AL155" s="45"/>
    </row>
    <row r="156" customFormat="false" ht="13.5" hidden="false" customHeight="true" outlineLevel="0" collapsed="false">
      <c r="A156" s="59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</row>
    <row r="157" customFormat="false" ht="13.5" hidden="false" customHeight="true" outlineLevel="0" collapsed="false">
      <c r="A157" s="61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</row>
    <row r="158" customFormat="false" ht="13.5" hidden="false" customHeight="true" outlineLevel="0" collapsed="false">
      <c r="A158" s="59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</row>
    <row r="159" customFormat="false" ht="13.5" hidden="false" customHeight="true" outlineLevel="0" collapsed="false">
      <c r="A159" s="61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  <c r="AK159" s="45"/>
      <c r="AL159" s="45"/>
    </row>
    <row r="160" customFormat="false" ht="13.5" hidden="false" customHeight="true" outlineLevel="0" collapsed="false">
      <c r="A160" s="59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</row>
    <row r="161" customFormat="false" ht="13.5" hidden="false" customHeight="true" outlineLevel="0" collapsed="false">
      <c r="A161" s="61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</row>
    <row r="162" customFormat="false" ht="13.5" hidden="false" customHeight="true" outlineLevel="0" collapsed="false">
      <c r="A162" s="59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</row>
    <row r="163" customFormat="false" ht="13.5" hidden="false" customHeight="true" outlineLevel="0" collapsed="false">
      <c r="A163" s="61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  <c r="AK163" s="45"/>
      <c r="AL163" s="45"/>
    </row>
    <row r="164" customFormat="false" ht="13.5" hidden="false" customHeight="true" outlineLevel="0" collapsed="false">
      <c r="A164" s="59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</row>
    <row r="165" customFormat="false" ht="13.5" hidden="false" customHeight="true" outlineLevel="0" collapsed="false">
      <c r="A165" s="61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</row>
    <row r="166" customFormat="false" ht="13.5" hidden="false" customHeight="true" outlineLevel="0" collapsed="false">
      <c r="A166" s="59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</row>
    <row r="167" customFormat="false" ht="13.5" hidden="false" customHeight="true" outlineLevel="0" collapsed="false">
      <c r="A167" s="61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</row>
    <row r="168" customFormat="false" ht="13.5" hidden="false" customHeight="true" outlineLevel="0" collapsed="false">
      <c r="A168" s="59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</row>
    <row r="169" customFormat="false" ht="13.5" hidden="false" customHeight="true" outlineLevel="0" collapsed="false">
      <c r="A169" s="61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</row>
    <row r="170" customFormat="false" ht="13.5" hidden="false" customHeight="true" outlineLevel="0" collapsed="false">
      <c r="A170" s="59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</row>
    <row r="171" customFormat="false" ht="13.5" hidden="false" customHeight="true" outlineLevel="0" collapsed="false">
      <c r="A171" s="61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</row>
    <row r="172" customFormat="false" ht="13.5" hidden="false" customHeight="true" outlineLevel="0" collapsed="false">
      <c r="A172" s="59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</row>
    <row r="173" customFormat="false" ht="13.5" hidden="false" customHeight="true" outlineLevel="0" collapsed="false">
      <c r="A173" s="61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  <c r="AI173" s="45"/>
      <c r="AJ173" s="45"/>
      <c r="AK173" s="45"/>
      <c r="AL173" s="45"/>
    </row>
    <row r="174" customFormat="false" ht="13.5" hidden="false" customHeight="true" outlineLevel="0" collapsed="false">
      <c r="A174" s="59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</row>
    <row r="175" customFormat="false" ht="13.5" hidden="false" customHeight="true" outlineLevel="0" collapsed="false">
      <c r="A175" s="61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  <c r="AI175" s="45"/>
      <c r="AJ175" s="45"/>
      <c r="AK175" s="45"/>
      <c r="AL175" s="45"/>
    </row>
    <row r="176" customFormat="false" ht="13.5" hidden="false" customHeight="true" outlineLevel="0" collapsed="false">
      <c r="A176" s="59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</row>
    <row r="177" customFormat="false" ht="13.5" hidden="false" customHeight="true" outlineLevel="0" collapsed="false">
      <c r="A177" s="61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</row>
    <row r="178" customFormat="false" ht="13.5" hidden="false" customHeight="true" outlineLevel="0" collapsed="false">
      <c r="A178" s="59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</row>
    <row r="179" customFormat="false" ht="13.5" hidden="false" customHeight="true" outlineLevel="0" collapsed="false">
      <c r="A179" s="61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  <c r="AB179" s="45"/>
      <c r="AC179" s="45"/>
      <c r="AD179" s="45"/>
      <c r="AE179" s="45"/>
      <c r="AF179" s="45"/>
      <c r="AG179" s="45"/>
      <c r="AH179" s="45"/>
      <c r="AI179" s="45"/>
      <c r="AJ179" s="45"/>
      <c r="AK179" s="45"/>
      <c r="AL179" s="45"/>
    </row>
    <row r="180" customFormat="false" ht="13.5" hidden="false" customHeight="true" outlineLevel="0" collapsed="false">
      <c r="A180" s="59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</row>
    <row r="181" customFormat="false" ht="13.5" hidden="false" customHeight="true" outlineLevel="0" collapsed="false">
      <c r="A181" s="61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  <c r="AB181" s="45"/>
      <c r="AC181" s="45"/>
      <c r="AD181" s="45"/>
      <c r="AE181" s="45"/>
      <c r="AF181" s="45"/>
      <c r="AG181" s="45"/>
      <c r="AH181" s="45"/>
      <c r="AI181" s="45"/>
      <c r="AJ181" s="45"/>
      <c r="AK181" s="45"/>
      <c r="AL181" s="45"/>
    </row>
    <row r="182" customFormat="false" ht="13.5" hidden="false" customHeight="true" outlineLevel="0" collapsed="false">
      <c r="A182" s="59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</row>
    <row r="183" customFormat="false" ht="13.5" hidden="false" customHeight="true" outlineLevel="0" collapsed="false">
      <c r="A183" s="61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  <c r="AB183" s="45"/>
      <c r="AC183" s="45"/>
      <c r="AD183" s="45"/>
      <c r="AE183" s="45"/>
      <c r="AF183" s="45"/>
      <c r="AG183" s="45"/>
      <c r="AH183" s="45"/>
      <c r="AI183" s="45"/>
      <c r="AJ183" s="45"/>
      <c r="AK183" s="45"/>
      <c r="AL183" s="45"/>
    </row>
    <row r="184" customFormat="false" ht="13.5" hidden="false" customHeight="true" outlineLevel="0" collapsed="false">
      <c r="A184" s="59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</row>
    <row r="185" customFormat="false" ht="13.5" hidden="false" customHeight="true" outlineLevel="0" collapsed="false">
      <c r="A185" s="61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  <c r="AB185" s="45"/>
      <c r="AC185" s="45"/>
      <c r="AD185" s="45"/>
      <c r="AE185" s="45"/>
      <c r="AF185" s="45"/>
      <c r="AG185" s="45"/>
      <c r="AH185" s="45"/>
      <c r="AI185" s="45"/>
      <c r="AJ185" s="45"/>
      <c r="AK185" s="45"/>
      <c r="AL185" s="45"/>
    </row>
    <row r="186" customFormat="false" ht="13.5" hidden="false" customHeight="true" outlineLevel="0" collapsed="false">
      <c r="A186" s="59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</row>
    <row r="187" customFormat="false" ht="13.5" hidden="false" customHeight="true" outlineLevel="0" collapsed="false">
      <c r="A187" s="61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  <c r="AB187" s="45"/>
      <c r="AC187" s="45"/>
      <c r="AD187" s="45"/>
      <c r="AE187" s="45"/>
      <c r="AF187" s="45"/>
      <c r="AG187" s="45"/>
      <c r="AH187" s="45"/>
      <c r="AI187" s="45"/>
      <c r="AJ187" s="45"/>
      <c r="AK187" s="45"/>
      <c r="AL187" s="45"/>
    </row>
    <row r="188" customFormat="false" ht="13.5" hidden="false" customHeight="true" outlineLevel="0" collapsed="false">
      <c r="A188" s="59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</row>
    <row r="189" customFormat="false" ht="13.5" hidden="false" customHeight="true" outlineLevel="0" collapsed="false">
      <c r="A189" s="61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  <c r="AB189" s="45"/>
      <c r="AC189" s="45"/>
      <c r="AD189" s="45"/>
      <c r="AE189" s="45"/>
      <c r="AF189" s="45"/>
      <c r="AG189" s="45"/>
      <c r="AH189" s="45"/>
      <c r="AI189" s="45"/>
      <c r="AJ189" s="45"/>
      <c r="AK189" s="45"/>
      <c r="AL189" s="45"/>
    </row>
    <row r="190" customFormat="false" ht="13.5" hidden="false" customHeight="true" outlineLevel="0" collapsed="false">
      <c r="A190" s="59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</row>
    <row r="191" customFormat="false" ht="13.5" hidden="false" customHeight="true" outlineLevel="0" collapsed="false">
      <c r="A191" s="61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  <c r="AB191" s="45"/>
      <c r="AC191" s="45"/>
      <c r="AD191" s="45"/>
      <c r="AE191" s="45"/>
      <c r="AF191" s="45"/>
      <c r="AG191" s="45"/>
      <c r="AH191" s="45"/>
      <c r="AI191" s="45"/>
      <c r="AJ191" s="45"/>
      <c r="AK191" s="45"/>
      <c r="AL191" s="45"/>
    </row>
    <row r="192" customFormat="false" ht="13.5" hidden="false" customHeight="true" outlineLevel="0" collapsed="false">
      <c r="A192" s="59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</row>
    <row r="193" customFormat="false" ht="13.5" hidden="false" customHeight="true" outlineLevel="0" collapsed="false">
      <c r="A193" s="61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  <c r="AB193" s="45"/>
      <c r="AC193" s="45"/>
      <c r="AD193" s="45"/>
      <c r="AE193" s="45"/>
      <c r="AF193" s="45"/>
      <c r="AG193" s="45"/>
      <c r="AH193" s="45"/>
      <c r="AI193" s="45"/>
      <c r="AJ193" s="45"/>
      <c r="AK193" s="45"/>
      <c r="AL193" s="45"/>
    </row>
    <row r="194" customFormat="false" ht="13.5" hidden="false" customHeight="true" outlineLevel="0" collapsed="false">
      <c r="A194" s="59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</row>
    <row r="195" customFormat="false" ht="13.5" hidden="false" customHeight="true" outlineLevel="0" collapsed="false">
      <c r="A195" s="61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  <c r="AK195" s="45"/>
      <c r="AL195" s="45"/>
    </row>
    <row r="196" customFormat="false" ht="13.5" hidden="false" customHeight="true" outlineLevel="0" collapsed="false">
      <c r="A196" s="59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</row>
    <row r="197" customFormat="false" ht="13.5" hidden="false" customHeight="true" outlineLevel="0" collapsed="false">
      <c r="A197" s="61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  <c r="AI197" s="45"/>
      <c r="AJ197" s="45"/>
      <c r="AK197" s="45"/>
      <c r="AL197" s="45"/>
    </row>
    <row r="198" customFormat="false" ht="13.5" hidden="false" customHeight="true" outlineLevel="0" collapsed="false">
      <c r="A198" s="59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</row>
    <row r="199" customFormat="false" ht="13.5" hidden="false" customHeight="true" outlineLevel="0" collapsed="false">
      <c r="A199" s="61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  <c r="AI199" s="45"/>
      <c r="AJ199" s="45"/>
      <c r="AK199" s="45"/>
      <c r="AL199" s="45"/>
    </row>
    <row r="200" customFormat="false" ht="13.5" hidden="false" customHeight="true" outlineLevel="0" collapsed="false">
      <c r="A200" s="59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</row>
    <row r="201" customFormat="false" ht="13.5" hidden="false" customHeight="true" outlineLevel="0" collapsed="false">
      <c r="A201" s="61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  <c r="AI201" s="45"/>
      <c r="AJ201" s="45"/>
      <c r="AK201" s="45"/>
      <c r="AL201" s="45"/>
    </row>
    <row r="202" customFormat="false" ht="13.5" hidden="false" customHeight="true" outlineLevel="0" collapsed="false">
      <c r="A202" s="59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</row>
    <row r="203" customFormat="false" ht="13.5" hidden="false" customHeight="true" outlineLevel="0" collapsed="false">
      <c r="A203" s="61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</row>
    <row r="204" customFormat="false" ht="13.5" hidden="false" customHeight="true" outlineLevel="0" collapsed="false">
      <c r="A204" s="59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</row>
    <row r="205" customFormat="false" ht="13.5" hidden="false" customHeight="true" outlineLevel="0" collapsed="false">
      <c r="A205" s="61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  <c r="AB205" s="45"/>
      <c r="AC205" s="45"/>
      <c r="AD205" s="45"/>
      <c r="AE205" s="45"/>
      <c r="AF205" s="45"/>
      <c r="AG205" s="45"/>
      <c r="AH205" s="45"/>
      <c r="AI205" s="45"/>
      <c r="AJ205" s="45"/>
      <c r="AK205" s="45"/>
      <c r="AL205" s="45"/>
    </row>
    <row r="206" customFormat="false" ht="13.5" hidden="false" customHeight="true" outlineLevel="0" collapsed="false">
      <c r="A206" s="59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</row>
    <row r="207" customFormat="false" ht="13.5" hidden="false" customHeight="true" outlineLevel="0" collapsed="false">
      <c r="A207" s="61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  <c r="AB207" s="45"/>
      <c r="AC207" s="45"/>
      <c r="AD207" s="45"/>
      <c r="AE207" s="45"/>
      <c r="AF207" s="45"/>
      <c r="AG207" s="45"/>
      <c r="AH207" s="45"/>
      <c r="AI207" s="45"/>
      <c r="AJ207" s="45"/>
      <c r="AK207" s="45"/>
      <c r="AL207" s="45"/>
    </row>
    <row r="208" customFormat="false" ht="13.5" hidden="false" customHeight="true" outlineLevel="0" collapsed="false">
      <c r="A208" s="59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</row>
    <row r="209" customFormat="false" ht="13.5" hidden="false" customHeight="true" outlineLevel="0" collapsed="false">
      <c r="A209" s="61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  <c r="AB209" s="45"/>
      <c r="AC209" s="45"/>
      <c r="AD209" s="45"/>
      <c r="AE209" s="45"/>
      <c r="AF209" s="45"/>
      <c r="AG209" s="45"/>
      <c r="AH209" s="45"/>
      <c r="AI209" s="45"/>
      <c r="AJ209" s="45"/>
      <c r="AK209" s="45"/>
      <c r="AL209" s="45"/>
    </row>
    <row r="210" customFormat="false" ht="13.5" hidden="false" customHeight="true" outlineLevel="0" collapsed="false">
      <c r="A210" s="59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</row>
    <row r="211" customFormat="false" ht="13.5" hidden="false" customHeight="true" outlineLevel="0" collapsed="false">
      <c r="A211" s="61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</row>
    <row r="212" customFormat="false" ht="13.5" hidden="false" customHeight="true" outlineLevel="0" collapsed="false">
      <c r="A212" s="59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</row>
    <row r="213" customFormat="false" ht="13.5" hidden="false" customHeight="true" outlineLevel="0" collapsed="false">
      <c r="A213" s="61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  <c r="AB213" s="45"/>
      <c r="AC213" s="45"/>
      <c r="AD213" s="45"/>
      <c r="AE213" s="45"/>
      <c r="AF213" s="45"/>
      <c r="AG213" s="45"/>
      <c r="AH213" s="45"/>
      <c r="AI213" s="45"/>
      <c r="AJ213" s="45"/>
      <c r="AK213" s="45"/>
      <c r="AL213" s="45"/>
    </row>
    <row r="214" customFormat="false" ht="13.5" hidden="false" customHeight="true" outlineLevel="0" collapsed="false">
      <c r="A214" s="59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</row>
    <row r="215" customFormat="false" ht="13.5" hidden="false" customHeight="true" outlineLevel="0" collapsed="false">
      <c r="A215" s="61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5"/>
    </row>
    <row r="216" customFormat="false" ht="13.5" hidden="false" customHeight="true" outlineLevel="0" collapsed="false">
      <c r="A216" s="59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</row>
    <row r="217" customFormat="false" ht="13.5" hidden="false" customHeight="true" outlineLevel="0" collapsed="false">
      <c r="A217" s="61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  <c r="AB217" s="45"/>
      <c r="AC217" s="45"/>
      <c r="AD217" s="45"/>
      <c r="AE217" s="45"/>
      <c r="AF217" s="45"/>
      <c r="AG217" s="45"/>
      <c r="AH217" s="45"/>
      <c r="AI217" s="45"/>
      <c r="AJ217" s="45"/>
      <c r="AK217" s="45"/>
      <c r="AL217" s="45"/>
    </row>
    <row r="218" customFormat="false" ht="13.5" hidden="false" customHeight="true" outlineLevel="0" collapsed="false">
      <c r="A218" s="59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</row>
    <row r="219" customFormat="false" ht="13.5" hidden="false" customHeight="true" outlineLevel="0" collapsed="false">
      <c r="A219" s="61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  <c r="AB219" s="45"/>
      <c r="AC219" s="45"/>
      <c r="AD219" s="45"/>
      <c r="AE219" s="45"/>
      <c r="AF219" s="45"/>
      <c r="AG219" s="45"/>
      <c r="AH219" s="45"/>
      <c r="AI219" s="45"/>
      <c r="AJ219" s="45"/>
      <c r="AK219" s="45"/>
      <c r="AL219" s="45"/>
    </row>
    <row r="220" customFormat="false" ht="13.5" hidden="false" customHeight="true" outlineLevel="0" collapsed="false">
      <c r="A220" s="59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</row>
    <row r="221" customFormat="false" ht="13.5" hidden="false" customHeight="true" outlineLevel="0" collapsed="false">
      <c r="A221" s="61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  <c r="AB221" s="45"/>
      <c r="AC221" s="45"/>
      <c r="AD221" s="45"/>
      <c r="AE221" s="45"/>
      <c r="AF221" s="45"/>
      <c r="AG221" s="45"/>
      <c r="AH221" s="45"/>
      <c r="AI221" s="45"/>
      <c r="AJ221" s="45"/>
      <c r="AK221" s="45"/>
      <c r="AL221" s="45"/>
    </row>
    <row r="222" customFormat="false" ht="13.5" hidden="false" customHeight="true" outlineLevel="0" collapsed="false">
      <c r="A222" s="59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</row>
    <row r="223" customFormat="false" ht="13.5" hidden="false" customHeight="true" outlineLevel="0" collapsed="false">
      <c r="A223" s="61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  <c r="AB223" s="45"/>
      <c r="AC223" s="45"/>
      <c r="AD223" s="45"/>
      <c r="AE223" s="45"/>
      <c r="AF223" s="45"/>
      <c r="AG223" s="45"/>
      <c r="AH223" s="45"/>
      <c r="AI223" s="45"/>
      <c r="AJ223" s="45"/>
      <c r="AK223" s="45"/>
      <c r="AL223" s="45"/>
    </row>
    <row r="224" customFormat="false" ht="13.5" hidden="false" customHeight="true" outlineLevel="0" collapsed="false">
      <c r="A224" s="59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</row>
    <row r="225" customFormat="false" ht="13.5" hidden="false" customHeight="true" outlineLevel="0" collapsed="false">
      <c r="A225" s="61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  <c r="AB225" s="45"/>
      <c r="AC225" s="45"/>
      <c r="AD225" s="45"/>
      <c r="AE225" s="45"/>
      <c r="AF225" s="45"/>
      <c r="AG225" s="45"/>
      <c r="AH225" s="45"/>
      <c r="AI225" s="45"/>
      <c r="AJ225" s="45"/>
      <c r="AK225" s="45"/>
      <c r="AL225" s="45"/>
    </row>
    <row r="226" customFormat="false" ht="13.5" hidden="false" customHeight="true" outlineLevel="0" collapsed="false">
      <c r="A226" s="59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</row>
    <row r="227" customFormat="false" ht="13.5" hidden="false" customHeight="true" outlineLevel="0" collapsed="false">
      <c r="A227" s="61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  <c r="AB227" s="45"/>
      <c r="AC227" s="45"/>
      <c r="AD227" s="45"/>
      <c r="AE227" s="45"/>
      <c r="AF227" s="45"/>
      <c r="AG227" s="45"/>
      <c r="AH227" s="45"/>
      <c r="AI227" s="45"/>
      <c r="AJ227" s="45"/>
      <c r="AK227" s="45"/>
      <c r="AL227" s="45"/>
    </row>
    <row r="228" customFormat="false" ht="13.5" hidden="false" customHeight="true" outlineLevel="0" collapsed="false">
      <c r="A228" s="59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</row>
    <row r="229" customFormat="false" ht="13.5" hidden="false" customHeight="true" outlineLevel="0" collapsed="false">
      <c r="A229" s="61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  <c r="AB229" s="45"/>
      <c r="AC229" s="45"/>
      <c r="AD229" s="45"/>
      <c r="AE229" s="45"/>
      <c r="AF229" s="45"/>
      <c r="AG229" s="45"/>
      <c r="AH229" s="45"/>
      <c r="AI229" s="45"/>
      <c r="AJ229" s="45"/>
      <c r="AK229" s="45"/>
      <c r="AL229" s="45"/>
    </row>
    <row r="230" customFormat="false" ht="13.5" hidden="false" customHeight="true" outlineLevel="0" collapsed="false">
      <c r="A230" s="59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</row>
    <row r="231" customFormat="false" ht="13.5" hidden="false" customHeight="true" outlineLevel="0" collapsed="false">
      <c r="A231" s="61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  <c r="AB231" s="45"/>
      <c r="AC231" s="45"/>
      <c r="AD231" s="45"/>
      <c r="AE231" s="45"/>
      <c r="AF231" s="45"/>
      <c r="AG231" s="45"/>
      <c r="AH231" s="45"/>
      <c r="AI231" s="45"/>
      <c r="AJ231" s="45"/>
      <c r="AK231" s="45"/>
      <c r="AL231" s="45"/>
    </row>
    <row r="232" customFormat="false" ht="13.5" hidden="false" customHeight="true" outlineLevel="0" collapsed="false">
      <c r="A232" s="59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</row>
    <row r="233" customFormat="false" ht="13.5" hidden="false" customHeight="true" outlineLevel="0" collapsed="false">
      <c r="A233" s="61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  <c r="AB233" s="45"/>
      <c r="AC233" s="45"/>
      <c r="AD233" s="45"/>
      <c r="AE233" s="45"/>
      <c r="AF233" s="45"/>
      <c r="AG233" s="45"/>
      <c r="AH233" s="45"/>
      <c r="AI233" s="45"/>
      <c r="AJ233" s="45"/>
      <c r="AK233" s="45"/>
      <c r="AL233" s="45"/>
    </row>
    <row r="234" customFormat="false" ht="13.5" hidden="false" customHeight="true" outlineLevel="0" collapsed="false">
      <c r="A234" s="59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</row>
    <row r="235" customFormat="false" ht="13.5" hidden="false" customHeight="true" outlineLevel="0" collapsed="false">
      <c r="A235" s="61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  <c r="AB235" s="45"/>
      <c r="AC235" s="45"/>
      <c r="AD235" s="45"/>
      <c r="AE235" s="45"/>
      <c r="AF235" s="45"/>
      <c r="AG235" s="45"/>
      <c r="AH235" s="45"/>
      <c r="AI235" s="45"/>
      <c r="AJ235" s="45"/>
      <c r="AK235" s="45"/>
      <c r="AL235" s="45"/>
    </row>
    <row r="236" customFormat="false" ht="13.5" hidden="false" customHeight="true" outlineLevel="0" collapsed="false">
      <c r="A236" s="59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</row>
    <row r="237" customFormat="false" ht="13.5" hidden="false" customHeight="true" outlineLevel="0" collapsed="false">
      <c r="A237" s="61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  <c r="AB237" s="45"/>
      <c r="AC237" s="45"/>
      <c r="AD237" s="45"/>
      <c r="AE237" s="45"/>
      <c r="AF237" s="45"/>
      <c r="AG237" s="45"/>
      <c r="AH237" s="45"/>
      <c r="AI237" s="45"/>
      <c r="AJ237" s="45"/>
      <c r="AK237" s="45"/>
      <c r="AL237" s="45"/>
    </row>
    <row r="238" customFormat="false" ht="13.5" hidden="false" customHeight="true" outlineLevel="0" collapsed="false">
      <c r="A238" s="59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</row>
    <row r="239" customFormat="false" ht="13.5" hidden="false" customHeight="true" outlineLevel="0" collapsed="false">
      <c r="A239" s="61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  <c r="AB239" s="45"/>
      <c r="AC239" s="45"/>
      <c r="AD239" s="45"/>
      <c r="AE239" s="45"/>
      <c r="AF239" s="45"/>
      <c r="AG239" s="45"/>
      <c r="AH239" s="45"/>
      <c r="AI239" s="45"/>
      <c r="AJ239" s="45"/>
      <c r="AK239" s="45"/>
      <c r="AL239" s="45"/>
    </row>
    <row r="240" customFormat="false" ht="13.5" hidden="false" customHeight="true" outlineLevel="0" collapsed="false">
      <c r="A240" s="59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</row>
    <row r="241" customFormat="false" ht="13.5" hidden="false" customHeight="true" outlineLevel="0" collapsed="false">
      <c r="A241" s="61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  <c r="AB241" s="45"/>
      <c r="AC241" s="45"/>
      <c r="AD241" s="45"/>
      <c r="AE241" s="45"/>
      <c r="AF241" s="45"/>
      <c r="AG241" s="45"/>
      <c r="AH241" s="45"/>
      <c r="AI241" s="45"/>
      <c r="AJ241" s="45"/>
      <c r="AK241" s="45"/>
      <c r="AL241" s="45"/>
    </row>
    <row r="242" customFormat="false" ht="13.5" hidden="false" customHeight="true" outlineLevel="0" collapsed="false">
      <c r="A242" s="59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</row>
    <row r="243" customFormat="false" ht="13.5" hidden="false" customHeight="true" outlineLevel="0" collapsed="false">
      <c r="A243" s="61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  <c r="AB243" s="45"/>
      <c r="AC243" s="45"/>
      <c r="AD243" s="45"/>
      <c r="AE243" s="45"/>
      <c r="AF243" s="45"/>
      <c r="AG243" s="45"/>
      <c r="AH243" s="45"/>
      <c r="AI243" s="45"/>
      <c r="AJ243" s="45"/>
      <c r="AK243" s="45"/>
      <c r="AL243" s="45"/>
    </row>
    <row r="244" customFormat="false" ht="13.5" hidden="false" customHeight="true" outlineLevel="0" collapsed="false">
      <c r="A244" s="59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</row>
    <row r="245" customFormat="false" ht="13.5" hidden="false" customHeight="true" outlineLevel="0" collapsed="false">
      <c r="A245" s="61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  <c r="AB245" s="45"/>
      <c r="AC245" s="45"/>
      <c r="AD245" s="45"/>
      <c r="AE245" s="45"/>
      <c r="AF245" s="45"/>
      <c r="AG245" s="45"/>
      <c r="AH245" s="45"/>
      <c r="AI245" s="45"/>
      <c r="AJ245" s="45"/>
      <c r="AK245" s="45"/>
      <c r="AL245" s="45"/>
    </row>
    <row r="246" customFormat="false" ht="13.5" hidden="false" customHeight="true" outlineLevel="0" collapsed="false">
      <c r="A246" s="59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</row>
    <row r="247" customFormat="false" ht="13.5" hidden="false" customHeight="true" outlineLevel="0" collapsed="false">
      <c r="A247" s="61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  <c r="AB247" s="45"/>
      <c r="AC247" s="45"/>
      <c r="AD247" s="45"/>
      <c r="AE247" s="45"/>
      <c r="AF247" s="45"/>
      <c r="AG247" s="45"/>
      <c r="AH247" s="45"/>
      <c r="AI247" s="45"/>
      <c r="AJ247" s="45"/>
      <c r="AK247" s="45"/>
      <c r="AL247" s="45"/>
    </row>
    <row r="248" customFormat="false" ht="13.5" hidden="false" customHeight="true" outlineLevel="0" collapsed="false">
      <c r="A248" s="59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</row>
    <row r="249" customFormat="false" ht="13.5" hidden="false" customHeight="true" outlineLevel="0" collapsed="false">
      <c r="A249" s="61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  <c r="AB249" s="45"/>
      <c r="AC249" s="45"/>
      <c r="AD249" s="45"/>
      <c r="AE249" s="45"/>
      <c r="AF249" s="45"/>
      <c r="AG249" s="45"/>
      <c r="AH249" s="45"/>
      <c r="AI249" s="45"/>
      <c r="AJ249" s="45"/>
      <c r="AK249" s="45"/>
      <c r="AL249" s="45"/>
    </row>
    <row r="250" customFormat="false" ht="13.5" hidden="false" customHeight="true" outlineLevel="0" collapsed="false">
      <c r="A250" s="59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</row>
    <row r="251" customFormat="false" ht="13.5" hidden="false" customHeight="true" outlineLevel="0" collapsed="false">
      <c r="A251" s="61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  <c r="AB251" s="45"/>
      <c r="AC251" s="45"/>
      <c r="AD251" s="45"/>
      <c r="AE251" s="45"/>
      <c r="AF251" s="45"/>
      <c r="AG251" s="45"/>
      <c r="AH251" s="45"/>
      <c r="AI251" s="45"/>
      <c r="AJ251" s="45"/>
      <c r="AK251" s="45"/>
      <c r="AL251" s="45"/>
    </row>
    <row r="252" customFormat="false" ht="13.5" hidden="false" customHeight="true" outlineLevel="0" collapsed="false">
      <c r="A252" s="59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</row>
    <row r="253" customFormat="false" ht="13.5" hidden="false" customHeight="true" outlineLevel="0" collapsed="false">
      <c r="A253" s="61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5"/>
    </row>
    <row r="254" customFormat="false" ht="13.5" hidden="false" customHeight="true" outlineLevel="0" collapsed="false">
      <c r="A254" s="59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</row>
    <row r="255" customFormat="false" ht="13.5" hidden="false" customHeight="true" outlineLevel="0" collapsed="false">
      <c r="A255" s="61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5"/>
      <c r="AC255" s="45"/>
      <c r="AD255" s="45"/>
      <c r="AE255" s="45"/>
      <c r="AF255" s="45"/>
      <c r="AG255" s="45"/>
      <c r="AH255" s="45"/>
      <c r="AI255" s="45"/>
      <c r="AJ255" s="45"/>
      <c r="AK255" s="45"/>
      <c r="AL255" s="45"/>
    </row>
    <row r="256" customFormat="false" ht="13.5" hidden="false" customHeight="true" outlineLevel="0" collapsed="false">
      <c r="A256" s="59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</row>
    <row r="257" customFormat="false" ht="13.5" hidden="false" customHeight="true" outlineLevel="0" collapsed="false">
      <c r="A257" s="61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5"/>
      <c r="AC257" s="45"/>
      <c r="AD257" s="45"/>
      <c r="AE257" s="45"/>
      <c r="AF257" s="45"/>
      <c r="AG257" s="45"/>
      <c r="AH257" s="45"/>
      <c r="AI257" s="45"/>
      <c r="AJ257" s="45"/>
      <c r="AK257" s="45"/>
      <c r="AL257" s="45"/>
    </row>
    <row r="258" customFormat="false" ht="13.5" hidden="false" customHeight="true" outlineLevel="0" collapsed="false">
      <c r="A258" s="59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</row>
    <row r="259" customFormat="false" ht="13.5" hidden="false" customHeight="true" outlineLevel="0" collapsed="false">
      <c r="A259" s="61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5"/>
      <c r="AC259" s="45"/>
      <c r="AD259" s="45"/>
      <c r="AE259" s="45"/>
      <c r="AF259" s="45"/>
      <c r="AG259" s="45"/>
      <c r="AH259" s="45"/>
      <c r="AI259" s="45"/>
      <c r="AJ259" s="45"/>
      <c r="AK259" s="45"/>
      <c r="AL259" s="45"/>
    </row>
    <row r="260" customFormat="false" ht="13.5" hidden="false" customHeight="true" outlineLevel="0" collapsed="false">
      <c r="A260" s="59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</row>
    <row r="261" customFormat="false" ht="13.5" hidden="false" customHeight="true" outlineLevel="0" collapsed="false">
      <c r="A261" s="61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5"/>
      <c r="AC261" s="45"/>
      <c r="AD261" s="45"/>
      <c r="AE261" s="45"/>
      <c r="AF261" s="45"/>
      <c r="AG261" s="45"/>
      <c r="AH261" s="45"/>
      <c r="AI261" s="45"/>
      <c r="AJ261" s="45"/>
      <c r="AK261" s="45"/>
      <c r="AL261" s="45"/>
    </row>
    <row r="262" customFormat="false" ht="13.5" hidden="false" customHeight="true" outlineLevel="0" collapsed="false">
      <c r="A262" s="59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</row>
    <row r="263" customFormat="false" ht="13.5" hidden="false" customHeight="true" outlineLevel="0" collapsed="false">
      <c r="A263" s="61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  <c r="AB263" s="45"/>
      <c r="AC263" s="45"/>
      <c r="AD263" s="45"/>
      <c r="AE263" s="45"/>
      <c r="AF263" s="45"/>
      <c r="AG263" s="45"/>
      <c r="AH263" s="45"/>
      <c r="AI263" s="45"/>
      <c r="AJ263" s="45"/>
      <c r="AK263" s="45"/>
      <c r="AL263" s="45"/>
    </row>
    <row r="264" customFormat="false" ht="13.5" hidden="false" customHeight="true" outlineLevel="0" collapsed="false">
      <c r="A264" s="59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</row>
    <row r="265" customFormat="false" ht="13.5" hidden="false" customHeight="true" outlineLevel="0" collapsed="false">
      <c r="A265" s="61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5"/>
      <c r="AC265" s="45"/>
      <c r="AD265" s="45"/>
      <c r="AE265" s="45"/>
      <c r="AF265" s="45"/>
      <c r="AG265" s="45"/>
      <c r="AH265" s="45"/>
      <c r="AI265" s="45"/>
      <c r="AJ265" s="45"/>
      <c r="AK265" s="45"/>
      <c r="AL265" s="45"/>
    </row>
    <row r="266" customFormat="false" ht="13.5" hidden="false" customHeight="true" outlineLevel="0" collapsed="false">
      <c r="A266" s="59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</row>
    <row r="267" customFormat="false" ht="13.5" hidden="false" customHeight="true" outlineLevel="0" collapsed="false">
      <c r="A267" s="61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5"/>
      <c r="AC267" s="45"/>
      <c r="AD267" s="45"/>
      <c r="AE267" s="45"/>
      <c r="AF267" s="45"/>
      <c r="AG267" s="45"/>
      <c r="AH267" s="45"/>
      <c r="AI267" s="45"/>
      <c r="AJ267" s="45"/>
      <c r="AK267" s="45"/>
      <c r="AL267" s="45"/>
    </row>
    <row r="268" customFormat="false" ht="13.5" hidden="false" customHeight="true" outlineLevel="0" collapsed="false">
      <c r="A268" s="59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</row>
    <row r="269" customFormat="false" ht="13.5" hidden="false" customHeight="true" outlineLevel="0" collapsed="false">
      <c r="A269" s="61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5"/>
      <c r="AC269" s="45"/>
      <c r="AD269" s="45"/>
      <c r="AE269" s="45"/>
      <c r="AF269" s="45"/>
      <c r="AG269" s="45"/>
      <c r="AH269" s="45"/>
      <c r="AI269" s="45"/>
      <c r="AJ269" s="45"/>
      <c r="AK269" s="45"/>
      <c r="AL269" s="45"/>
    </row>
    <row r="270" customFormat="false" ht="13.5" hidden="false" customHeight="true" outlineLevel="0" collapsed="false">
      <c r="A270" s="59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</row>
    <row r="271" customFormat="false" ht="13.5" hidden="false" customHeight="true" outlineLevel="0" collapsed="false">
      <c r="A271" s="61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5"/>
      <c r="AC271" s="45"/>
      <c r="AD271" s="45"/>
      <c r="AE271" s="45"/>
      <c r="AF271" s="45"/>
      <c r="AG271" s="45"/>
      <c r="AH271" s="45"/>
      <c r="AI271" s="45"/>
      <c r="AJ271" s="45"/>
      <c r="AK271" s="45"/>
      <c r="AL271" s="45"/>
    </row>
    <row r="272" customFormat="false" ht="13.5" hidden="false" customHeight="true" outlineLevel="0" collapsed="false">
      <c r="A272" s="59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</row>
    <row r="273" customFormat="false" ht="13.5" hidden="false" customHeight="true" outlineLevel="0" collapsed="false">
      <c r="A273" s="61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  <c r="AB273" s="45"/>
      <c r="AC273" s="45"/>
      <c r="AD273" s="45"/>
      <c r="AE273" s="45"/>
      <c r="AF273" s="45"/>
      <c r="AG273" s="45"/>
      <c r="AH273" s="45"/>
      <c r="AI273" s="45"/>
      <c r="AJ273" s="45"/>
      <c r="AK273" s="45"/>
      <c r="AL273" s="45"/>
    </row>
    <row r="274" customFormat="false" ht="13.5" hidden="false" customHeight="true" outlineLevel="0" collapsed="false">
      <c r="A274" s="59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</row>
    <row r="275" customFormat="false" ht="13.5" hidden="false" customHeight="true" outlineLevel="0" collapsed="false">
      <c r="A275" s="61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  <c r="AB275" s="45"/>
      <c r="AC275" s="45"/>
      <c r="AD275" s="45"/>
      <c r="AE275" s="45"/>
      <c r="AF275" s="45"/>
      <c r="AG275" s="45"/>
      <c r="AH275" s="45"/>
      <c r="AI275" s="45"/>
      <c r="AJ275" s="45"/>
      <c r="AK275" s="45"/>
      <c r="AL275" s="45"/>
    </row>
    <row r="276" customFormat="false" ht="13.5" hidden="false" customHeight="true" outlineLevel="0" collapsed="false">
      <c r="A276" s="59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</row>
    <row r="277" customFormat="false" ht="13.5" hidden="false" customHeight="true" outlineLevel="0" collapsed="false">
      <c r="A277" s="61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5"/>
      <c r="AD277" s="45"/>
      <c r="AE277" s="45"/>
      <c r="AF277" s="45"/>
      <c r="AG277" s="45"/>
      <c r="AH277" s="45"/>
      <c r="AI277" s="45"/>
      <c r="AJ277" s="45"/>
      <c r="AK277" s="45"/>
      <c r="AL277" s="45"/>
    </row>
    <row r="278" customFormat="false" ht="13.5" hidden="false" customHeight="true" outlineLevel="0" collapsed="false">
      <c r="A278" s="59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</row>
    <row r="279" customFormat="false" ht="13.5" hidden="false" customHeight="true" outlineLevel="0" collapsed="false">
      <c r="A279" s="61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  <c r="AB279" s="45"/>
      <c r="AC279" s="45"/>
      <c r="AD279" s="45"/>
      <c r="AE279" s="45"/>
      <c r="AF279" s="45"/>
      <c r="AG279" s="45"/>
      <c r="AH279" s="45"/>
      <c r="AI279" s="45"/>
      <c r="AJ279" s="45"/>
      <c r="AK279" s="45"/>
      <c r="AL279" s="45"/>
    </row>
    <row r="280" customFormat="false" ht="13.5" hidden="false" customHeight="true" outlineLevel="0" collapsed="false">
      <c r="A280" s="59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</row>
    <row r="281" customFormat="false" ht="13.5" hidden="false" customHeight="true" outlineLevel="0" collapsed="false">
      <c r="A281" s="61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5"/>
      <c r="AC281" s="45"/>
      <c r="AD281" s="45"/>
      <c r="AE281" s="45"/>
      <c r="AF281" s="45"/>
      <c r="AG281" s="45"/>
      <c r="AH281" s="45"/>
      <c r="AI281" s="45"/>
      <c r="AJ281" s="45"/>
      <c r="AK281" s="45"/>
      <c r="AL281" s="45"/>
    </row>
    <row r="282" customFormat="false" ht="13.5" hidden="false" customHeight="true" outlineLevel="0" collapsed="false">
      <c r="A282" s="59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</row>
    <row r="283" customFormat="false" ht="13.5" hidden="false" customHeight="true" outlineLevel="0" collapsed="false">
      <c r="A283" s="61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  <c r="AB283" s="45"/>
      <c r="AC283" s="45"/>
      <c r="AD283" s="45"/>
      <c r="AE283" s="45"/>
      <c r="AF283" s="45"/>
      <c r="AG283" s="45"/>
      <c r="AH283" s="45"/>
      <c r="AI283" s="45"/>
      <c r="AJ283" s="45"/>
      <c r="AK283" s="45"/>
      <c r="AL283" s="45"/>
    </row>
    <row r="284" customFormat="false" ht="13.5" hidden="false" customHeight="true" outlineLevel="0" collapsed="false">
      <c r="A284" s="59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</row>
    <row r="285" customFormat="false" ht="13.5" hidden="false" customHeight="true" outlineLevel="0" collapsed="false">
      <c r="A285" s="61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5"/>
      <c r="AD285" s="45"/>
      <c r="AE285" s="45"/>
      <c r="AF285" s="45"/>
      <c r="AG285" s="45"/>
      <c r="AH285" s="45"/>
      <c r="AI285" s="45"/>
      <c r="AJ285" s="45"/>
      <c r="AK285" s="45"/>
      <c r="AL285" s="45"/>
    </row>
    <row r="286" customFormat="false" ht="13.5" hidden="false" customHeight="true" outlineLevel="0" collapsed="false">
      <c r="A286" s="59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</row>
    <row r="287" customFormat="false" ht="13.5" hidden="false" customHeight="true" outlineLevel="0" collapsed="false">
      <c r="A287" s="61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5"/>
      <c r="AD287" s="45"/>
      <c r="AE287" s="45"/>
      <c r="AF287" s="45"/>
      <c r="AG287" s="45"/>
      <c r="AH287" s="45"/>
      <c r="AI287" s="45"/>
      <c r="AJ287" s="45"/>
      <c r="AK287" s="45"/>
      <c r="AL287" s="45"/>
    </row>
    <row r="288" customFormat="false" ht="13.5" hidden="false" customHeight="true" outlineLevel="0" collapsed="false">
      <c r="A288" s="59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</row>
    <row r="289" customFormat="false" ht="13.5" hidden="false" customHeight="true" outlineLevel="0" collapsed="false">
      <c r="A289" s="61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5"/>
      <c r="AD289" s="45"/>
      <c r="AE289" s="45"/>
      <c r="AF289" s="45"/>
      <c r="AG289" s="45"/>
      <c r="AH289" s="45"/>
      <c r="AI289" s="45"/>
      <c r="AJ289" s="45"/>
      <c r="AK289" s="45"/>
      <c r="AL289" s="45"/>
    </row>
    <row r="290" customFormat="false" ht="13.5" hidden="false" customHeight="true" outlineLevel="0" collapsed="false">
      <c r="A290" s="59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</row>
    <row r="291" customFormat="false" ht="13.5" hidden="false" customHeight="true" outlineLevel="0" collapsed="false">
      <c r="A291" s="61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5"/>
    </row>
    <row r="292" customFormat="false" ht="13.5" hidden="false" customHeight="true" outlineLevel="0" collapsed="false">
      <c r="A292" s="59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</row>
    <row r="293" customFormat="false" ht="13.5" hidden="false" customHeight="true" outlineLevel="0" collapsed="false">
      <c r="A293" s="61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5"/>
      <c r="AD293" s="45"/>
      <c r="AE293" s="45"/>
      <c r="AF293" s="45"/>
      <c r="AG293" s="45"/>
      <c r="AH293" s="45"/>
      <c r="AI293" s="45"/>
      <c r="AJ293" s="45"/>
      <c r="AK293" s="45"/>
      <c r="AL293" s="45"/>
    </row>
    <row r="294" customFormat="false" ht="13.5" hidden="false" customHeight="true" outlineLevel="0" collapsed="false">
      <c r="A294" s="59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</row>
    <row r="295" customFormat="false" ht="13.5" hidden="false" customHeight="true" outlineLevel="0" collapsed="false">
      <c r="A295" s="61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5"/>
      <c r="AD295" s="45"/>
      <c r="AE295" s="45"/>
      <c r="AF295" s="45"/>
      <c r="AG295" s="45"/>
      <c r="AH295" s="45"/>
      <c r="AI295" s="45"/>
      <c r="AJ295" s="45"/>
      <c r="AK295" s="45"/>
      <c r="AL295" s="45"/>
    </row>
    <row r="296" customFormat="false" ht="13.5" hidden="false" customHeight="true" outlineLevel="0" collapsed="false">
      <c r="A296" s="59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</row>
    <row r="297" customFormat="false" ht="13.5" hidden="false" customHeight="true" outlineLevel="0" collapsed="false">
      <c r="A297" s="61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5"/>
      <c r="AD297" s="45"/>
      <c r="AE297" s="45"/>
      <c r="AF297" s="45"/>
      <c r="AG297" s="45"/>
      <c r="AH297" s="45"/>
      <c r="AI297" s="45"/>
      <c r="AJ297" s="45"/>
      <c r="AK297" s="45"/>
      <c r="AL297" s="45"/>
    </row>
    <row r="298" customFormat="false" ht="13.5" hidden="false" customHeight="true" outlineLevel="0" collapsed="false">
      <c r="A298" s="59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</row>
    <row r="299" customFormat="false" ht="13.5" hidden="false" customHeight="true" outlineLevel="0" collapsed="false">
      <c r="A299" s="61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5"/>
      <c r="AD299" s="45"/>
      <c r="AE299" s="45"/>
      <c r="AF299" s="45"/>
      <c r="AG299" s="45"/>
      <c r="AH299" s="45"/>
      <c r="AI299" s="45"/>
      <c r="AJ299" s="45"/>
      <c r="AK299" s="45"/>
      <c r="AL299" s="45"/>
    </row>
    <row r="300" customFormat="false" ht="13.5" hidden="false" customHeight="true" outlineLevel="0" collapsed="false">
      <c r="A300" s="59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</row>
    <row r="301" customFormat="false" ht="13.5" hidden="false" customHeight="true" outlineLevel="0" collapsed="false">
      <c r="A301" s="61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5"/>
      <c r="AD301" s="45"/>
      <c r="AE301" s="45"/>
      <c r="AF301" s="45"/>
      <c r="AG301" s="45"/>
      <c r="AH301" s="45"/>
      <c r="AI301" s="45"/>
      <c r="AJ301" s="45"/>
      <c r="AK301" s="45"/>
      <c r="AL301" s="45"/>
    </row>
    <row r="302" customFormat="false" ht="13.5" hidden="false" customHeight="true" outlineLevel="0" collapsed="false">
      <c r="A302" s="59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</row>
    <row r="303" customFormat="false" ht="13.5" hidden="false" customHeight="true" outlineLevel="0" collapsed="false">
      <c r="A303" s="61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  <c r="AB303" s="45"/>
      <c r="AC303" s="45"/>
      <c r="AD303" s="45"/>
      <c r="AE303" s="45"/>
      <c r="AF303" s="45"/>
      <c r="AG303" s="45"/>
      <c r="AH303" s="45"/>
      <c r="AI303" s="45"/>
      <c r="AJ303" s="45"/>
      <c r="AK303" s="45"/>
      <c r="AL303" s="45"/>
    </row>
    <row r="304" customFormat="false" ht="13.5" hidden="false" customHeight="true" outlineLevel="0" collapsed="false">
      <c r="A304" s="59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</row>
    <row r="305" customFormat="false" ht="13.5" hidden="false" customHeight="true" outlineLevel="0" collapsed="false">
      <c r="A305" s="61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  <c r="AB305" s="45"/>
      <c r="AC305" s="45"/>
      <c r="AD305" s="45"/>
      <c r="AE305" s="45"/>
      <c r="AF305" s="45"/>
      <c r="AG305" s="45"/>
      <c r="AH305" s="45"/>
      <c r="AI305" s="45"/>
      <c r="AJ305" s="45"/>
      <c r="AK305" s="45"/>
      <c r="AL305" s="45"/>
    </row>
    <row r="306" customFormat="false" ht="13.5" hidden="false" customHeight="true" outlineLevel="0" collapsed="false">
      <c r="A306" s="59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</row>
    <row r="307" customFormat="false" ht="13.5" hidden="false" customHeight="true" outlineLevel="0" collapsed="false">
      <c r="A307" s="61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5"/>
      <c r="AE307" s="45"/>
      <c r="AF307" s="45"/>
      <c r="AG307" s="45"/>
      <c r="AH307" s="45"/>
      <c r="AI307" s="45"/>
      <c r="AJ307" s="45"/>
      <c r="AK307" s="45"/>
      <c r="AL307" s="45"/>
    </row>
    <row r="308" customFormat="false" ht="13.5" hidden="false" customHeight="true" outlineLevel="0" collapsed="false">
      <c r="A308" s="59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</row>
    <row r="309" customFormat="false" ht="13.5" hidden="false" customHeight="true" outlineLevel="0" collapsed="false">
      <c r="A309" s="61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  <c r="AB309" s="45"/>
      <c r="AC309" s="45"/>
      <c r="AD309" s="45"/>
      <c r="AE309" s="45"/>
      <c r="AF309" s="45"/>
      <c r="AG309" s="45"/>
      <c r="AH309" s="45"/>
      <c r="AI309" s="45"/>
      <c r="AJ309" s="45"/>
      <c r="AK309" s="45"/>
      <c r="AL309" s="45"/>
    </row>
    <row r="310" customFormat="false" ht="13.5" hidden="false" customHeight="true" outlineLevel="0" collapsed="false">
      <c r="A310" s="59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</row>
    <row r="311" customFormat="false" ht="13.5" hidden="false" customHeight="true" outlineLevel="0" collapsed="false">
      <c r="A311" s="61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5"/>
      <c r="AE311" s="45"/>
      <c r="AF311" s="45"/>
      <c r="AG311" s="45"/>
      <c r="AH311" s="45"/>
      <c r="AI311" s="45"/>
      <c r="AJ311" s="45"/>
      <c r="AK311" s="45"/>
      <c r="AL311" s="45"/>
    </row>
    <row r="312" customFormat="false" ht="13.5" hidden="false" customHeight="true" outlineLevel="0" collapsed="false">
      <c r="A312" s="59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</row>
    <row r="313" customFormat="false" ht="13.5" hidden="false" customHeight="true" outlineLevel="0" collapsed="false">
      <c r="A313" s="61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  <c r="AB313" s="45"/>
      <c r="AC313" s="45"/>
      <c r="AD313" s="45"/>
      <c r="AE313" s="45"/>
      <c r="AF313" s="45"/>
      <c r="AG313" s="45"/>
      <c r="AH313" s="45"/>
      <c r="AI313" s="45"/>
      <c r="AJ313" s="45"/>
      <c r="AK313" s="45"/>
      <c r="AL313" s="45"/>
    </row>
    <row r="314" customFormat="false" ht="13.5" hidden="false" customHeight="true" outlineLevel="0" collapsed="false">
      <c r="A314" s="59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</row>
    <row r="315" customFormat="false" ht="13.5" hidden="false" customHeight="true" outlineLevel="0" collapsed="false">
      <c r="A315" s="61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  <c r="AB315" s="45"/>
      <c r="AC315" s="45"/>
      <c r="AD315" s="45"/>
      <c r="AE315" s="45"/>
      <c r="AF315" s="45"/>
      <c r="AG315" s="45"/>
      <c r="AH315" s="45"/>
      <c r="AI315" s="45"/>
      <c r="AJ315" s="45"/>
      <c r="AK315" s="45"/>
      <c r="AL315" s="45"/>
    </row>
    <row r="316" customFormat="false" ht="13.5" hidden="false" customHeight="true" outlineLevel="0" collapsed="false">
      <c r="A316" s="59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</row>
    <row r="317" customFormat="false" ht="13.5" hidden="false" customHeight="true" outlineLevel="0" collapsed="false">
      <c r="A317" s="61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  <c r="AB317" s="45"/>
      <c r="AC317" s="45"/>
      <c r="AD317" s="45"/>
      <c r="AE317" s="45"/>
      <c r="AF317" s="45"/>
      <c r="AG317" s="45"/>
      <c r="AH317" s="45"/>
      <c r="AI317" s="45"/>
      <c r="AJ317" s="45"/>
      <c r="AK317" s="45"/>
      <c r="AL317" s="45"/>
    </row>
    <row r="318" customFormat="false" ht="13.5" hidden="false" customHeight="true" outlineLevel="0" collapsed="false">
      <c r="A318" s="59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</row>
    <row r="319" customFormat="false" ht="13.5" hidden="false" customHeight="true" outlineLevel="0" collapsed="false">
      <c r="A319" s="61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  <c r="AB319" s="45"/>
      <c r="AC319" s="45"/>
      <c r="AD319" s="45"/>
      <c r="AE319" s="45"/>
      <c r="AF319" s="45"/>
      <c r="AG319" s="45"/>
      <c r="AH319" s="45"/>
      <c r="AI319" s="45"/>
      <c r="AJ319" s="45"/>
      <c r="AK319" s="45"/>
      <c r="AL319" s="45"/>
    </row>
    <row r="320" customFormat="false" ht="13.5" hidden="false" customHeight="true" outlineLevel="0" collapsed="false">
      <c r="A320" s="59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</row>
    <row r="321" customFormat="false" ht="13.5" hidden="false" customHeight="true" outlineLevel="0" collapsed="false">
      <c r="A321" s="61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5"/>
      <c r="AF321" s="45"/>
      <c r="AG321" s="45"/>
      <c r="AH321" s="45"/>
      <c r="AI321" s="45"/>
      <c r="AJ321" s="45"/>
      <c r="AK321" s="45"/>
      <c r="AL321" s="45"/>
    </row>
    <row r="322" customFormat="false" ht="13.5" hidden="false" customHeight="true" outlineLevel="0" collapsed="false">
      <c r="A322" s="59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</row>
    <row r="323" customFormat="false" ht="13.5" hidden="false" customHeight="true" outlineLevel="0" collapsed="false">
      <c r="A323" s="61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  <c r="AB323" s="45"/>
      <c r="AC323" s="45"/>
      <c r="AD323" s="45"/>
      <c r="AE323" s="45"/>
      <c r="AF323" s="45"/>
      <c r="AG323" s="45"/>
      <c r="AH323" s="45"/>
      <c r="AI323" s="45"/>
      <c r="AJ323" s="45"/>
      <c r="AK323" s="45"/>
      <c r="AL323" s="45"/>
    </row>
    <row r="324" customFormat="false" ht="13.5" hidden="false" customHeight="true" outlineLevel="0" collapsed="false">
      <c r="A324" s="59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</row>
    <row r="325" customFormat="false" ht="13.5" hidden="false" customHeight="true" outlineLevel="0" collapsed="false">
      <c r="A325" s="61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  <c r="AB325" s="45"/>
      <c r="AC325" s="45"/>
      <c r="AD325" s="45"/>
      <c r="AE325" s="45"/>
      <c r="AF325" s="45"/>
      <c r="AG325" s="45"/>
      <c r="AH325" s="45"/>
      <c r="AI325" s="45"/>
      <c r="AJ325" s="45"/>
      <c r="AK325" s="45"/>
      <c r="AL325" s="45"/>
    </row>
    <row r="326" customFormat="false" ht="13.5" hidden="false" customHeight="true" outlineLevel="0" collapsed="false">
      <c r="A326" s="59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</row>
    <row r="327" customFormat="false" ht="13.5" hidden="false" customHeight="true" outlineLevel="0" collapsed="false">
      <c r="A327" s="61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  <c r="AB327" s="45"/>
      <c r="AC327" s="45"/>
      <c r="AD327" s="45"/>
      <c r="AE327" s="45"/>
      <c r="AF327" s="45"/>
      <c r="AG327" s="45"/>
      <c r="AH327" s="45"/>
      <c r="AI327" s="45"/>
      <c r="AJ327" s="45"/>
      <c r="AK327" s="45"/>
      <c r="AL327" s="45"/>
    </row>
    <row r="328" customFormat="false" ht="13.5" hidden="false" customHeight="true" outlineLevel="0" collapsed="false">
      <c r="A328" s="59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</row>
    <row r="329" customFormat="false" ht="13.5" hidden="false" customHeight="true" outlineLevel="0" collapsed="false">
      <c r="A329" s="61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5"/>
    </row>
    <row r="330" customFormat="false" ht="13.5" hidden="false" customHeight="true" outlineLevel="0" collapsed="false">
      <c r="A330" s="59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</row>
    <row r="331" customFormat="false" ht="13.5" hidden="false" customHeight="true" outlineLevel="0" collapsed="false">
      <c r="A331" s="61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  <c r="AB331" s="45"/>
      <c r="AC331" s="45"/>
      <c r="AD331" s="45"/>
      <c r="AE331" s="45"/>
      <c r="AF331" s="45"/>
      <c r="AG331" s="45"/>
      <c r="AH331" s="45"/>
      <c r="AI331" s="45"/>
      <c r="AJ331" s="45"/>
      <c r="AK331" s="45"/>
      <c r="AL331" s="45"/>
    </row>
    <row r="332" customFormat="false" ht="13.5" hidden="false" customHeight="true" outlineLevel="0" collapsed="false">
      <c r="A332" s="59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</row>
    <row r="333" customFormat="false" ht="13.5" hidden="false" customHeight="true" outlineLevel="0" collapsed="false">
      <c r="A333" s="61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  <c r="AB333" s="45"/>
      <c r="AC333" s="45"/>
      <c r="AD333" s="45"/>
      <c r="AE333" s="45"/>
      <c r="AF333" s="45"/>
      <c r="AG333" s="45"/>
      <c r="AH333" s="45"/>
      <c r="AI333" s="45"/>
      <c r="AJ333" s="45"/>
      <c r="AK333" s="45"/>
      <c r="AL333" s="45"/>
    </row>
    <row r="334" customFormat="false" ht="13.5" hidden="false" customHeight="true" outlineLevel="0" collapsed="false">
      <c r="A334" s="59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</row>
    <row r="335" customFormat="false" ht="13.5" hidden="false" customHeight="true" outlineLevel="0" collapsed="false">
      <c r="A335" s="61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  <c r="AB335" s="45"/>
      <c r="AC335" s="45"/>
      <c r="AD335" s="45"/>
      <c r="AE335" s="45"/>
      <c r="AF335" s="45"/>
      <c r="AG335" s="45"/>
      <c r="AH335" s="45"/>
      <c r="AI335" s="45"/>
      <c r="AJ335" s="45"/>
      <c r="AK335" s="45"/>
      <c r="AL335" s="45"/>
    </row>
    <row r="336" customFormat="false" ht="13.5" hidden="false" customHeight="true" outlineLevel="0" collapsed="false">
      <c r="A336" s="59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</row>
    <row r="337" customFormat="false" ht="13.5" hidden="false" customHeight="true" outlineLevel="0" collapsed="false">
      <c r="A337" s="61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  <c r="AB337" s="45"/>
      <c r="AC337" s="45"/>
      <c r="AD337" s="45"/>
      <c r="AE337" s="45"/>
      <c r="AF337" s="45"/>
      <c r="AG337" s="45"/>
      <c r="AH337" s="45"/>
      <c r="AI337" s="45"/>
      <c r="AJ337" s="45"/>
      <c r="AK337" s="45"/>
      <c r="AL337" s="45"/>
    </row>
    <row r="338" customFormat="false" ht="13.5" hidden="false" customHeight="true" outlineLevel="0" collapsed="false">
      <c r="A338" s="59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</row>
    <row r="339" customFormat="false" ht="13.5" hidden="false" customHeight="true" outlineLevel="0" collapsed="false">
      <c r="A339" s="61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  <c r="AB339" s="45"/>
      <c r="AC339" s="45"/>
      <c r="AD339" s="45"/>
      <c r="AE339" s="45"/>
      <c r="AF339" s="45"/>
      <c r="AG339" s="45"/>
      <c r="AH339" s="45"/>
      <c r="AI339" s="45"/>
      <c r="AJ339" s="45"/>
      <c r="AK339" s="45"/>
      <c r="AL339" s="45"/>
    </row>
    <row r="340" customFormat="false" ht="13.5" hidden="false" customHeight="true" outlineLevel="0" collapsed="false">
      <c r="A340" s="59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</row>
    <row r="341" customFormat="false" ht="13.5" hidden="false" customHeight="true" outlineLevel="0" collapsed="false">
      <c r="A341" s="61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  <c r="AB341" s="45"/>
      <c r="AC341" s="45"/>
      <c r="AD341" s="45"/>
      <c r="AE341" s="45"/>
      <c r="AF341" s="45"/>
      <c r="AG341" s="45"/>
      <c r="AH341" s="45"/>
      <c r="AI341" s="45"/>
      <c r="AJ341" s="45"/>
      <c r="AK341" s="45"/>
      <c r="AL341" s="45"/>
    </row>
    <row r="342" customFormat="false" ht="13.5" hidden="false" customHeight="true" outlineLevel="0" collapsed="false">
      <c r="A342" s="59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</row>
    <row r="343" customFormat="false" ht="13.5" hidden="false" customHeight="true" outlineLevel="0" collapsed="false">
      <c r="A343" s="61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5"/>
      <c r="AF343" s="45"/>
      <c r="AG343" s="45"/>
      <c r="AH343" s="45"/>
      <c r="AI343" s="45"/>
      <c r="AJ343" s="45"/>
      <c r="AK343" s="45"/>
      <c r="AL343" s="45"/>
    </row>
    <row r="344" customFormat="false" ht="13.5" hidden="false" customHeight="true" outlineLevel="0" collapsed="false">
      <c r="A344" s="59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</row>
    <row r="345" customFormat="false" ht="13.5" hidden="false" customHeight="true" outlineLevel="0" collapsed="false">
      <c r="A345" s="61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  <c r="AB345" s="45"/>
      <c r="AC345" s="45"/>
      <c r="AD345" s="45"/>
      <c r="AE345" s="45"/>
      <c r="AF345" s="45"/>
      <c r="AG345" s="45"/>
      <c r="AH345" s="45"/>
      <c r="AI345" s="45"/>
      <c r="AJ345" s="45"/>
      <c r="AK345" s="45"/>
      <c r="AL345" s="45"/>
    </row>
    <row r="346" customFormat="false" ht="13.5" hidden="false" customHeight="true" outlineLevel="0" collapsed="false">
      <c r="A346" s="59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</row>
    <row r="347" customFormat="false" ht="13.5" hidden="false" customHeight="true" outlineLevel="0" collapsed="false">
      <c r="A347" s="61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  <c r="AB347" s="45"/>
      <c r="AC347" s="45"/>
      <c r="AD347" s="45"/>
      <c r="AE347" s="45"/>
      <c r="AF347" s="45"/>
      <c r="AG347" s="45"/>
      <c r="AH347" s="45"/>
      <c r="AI347" s="45"/>
      <c r="AJ347" s="45"/>
      <c r="AK347" s="45"/>
      <c r="AL347" s="45"/>
    </row>
    <row r="348" customFormat="false" ht="13.5" hidden="false" customHeight="true" outlineLevel="0" collapsed="false">
      <c r="A348" s="59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</row>
    <row r="349" customFormat="false" ht="13.5" hidden="false" customHeight="true" outlineLevel="0" collapsed="false">
      <c r="A349" s="61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  <c r="AB349" s="45"/>
      <c r="AC349" s="45"/>
      <c r="AD349" s="45"/>
      <c r="AE349" s="45"/>
      <c r="AF349" s="45"/>
      <c r="AG349" s="45"/>
      <c r="AH349" s="45"/>
      <c r="AI349" s="45"/>
      <c r="AJ349" s="45"/>
      <c r="AK349" s="45"/>
      <c r="AL349" s="45"/>
    </row>
    <row r="350" customFormat="false" ht="13.5" hidden="false" customHeight="true" outlineLevel="0" collapsed="false">
      <c r="A350" s="59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</row>
    <row r="351" customFormat="false" ht="13.5" hidden="false" customHeight="true" outlineLevel="0" collapsed="false">
      <c r="A351" s="61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  <c r="AB351" s="45"/>
      <c r="AC351" s="45"/>
      <c r="AD351" s="45"/>
      <c r="AE351" s="45"/>
      <c r="AF351" s="45"/>
      <c r="AG351" s="45"/>
      <c r="AH351" s="45"/>
      <c r="AI351" s="45"/>
      <c r="AJ351" s="45"/>
      <c r="AK351" s="45"/>
      <c r="AL351" s="45"/>
    </row>
    <row r="352" customFormat="false" ht="13.5" hidden="false" customHeight="true" outlineLevel="0" collapsed="false">
      <c r="A352" s="59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</row>
    <row r="353" customFormat="false" ht="13.5" hidden="false" customHeight="true" outlineLevel="0" collapsed="false">
      <c r="A353" s="61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  <c r="AB353" s="45"/>
      <c r="AC353" s="45"/>
      <c r="AD353" s="45"/>
      <c r="AE353" s="45"/>
      <c r="AF353" s="45"/>
      <c r="AG353" s="45"/>
      <c r="AH353" s="45"/>
      <c r="AI353" s="45"/>
      <c r="AJ353" s="45"/>
      <c r="AK353" s="45"/>
      <c r="AL353" s="45"/>
    </row>
    <row r="354" customFormat="false" ht="13.5" hidden="false" customHeight="true" outlineLevel="0" collapsed="false">
      <c r="A354" s="59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</row>
    <row r="355" customFormat="false" ht="13.5" hidden="false" customHeight="true" outlineLevel="0" collapsed="false">
      <c r="A355" s="61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  <c r="AB355" s="45"/>
      <c r="AC355" s="45"/>
      <c r="AD355" s="45"/>
      <c r="AE355" s="45"/>
      <c r="AF355" s="45"/>
      <c r="AG355" s="45"/>
      <c r="AH355" s="45"/>
      <c r="AI355" s="45"/>
      <c r="AJ355" s="45"/>
      <c r="AK355" s="45"/>
      <c r="AL355" s="45"/>
    </row>
    <row r="356" customFormat="false" ht="13.5" hidden="false" customHeight="true" outlineLevel="0" collapsed="false">
      <c r="A356" s="59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</row>
    <row r="357" customFormat="false" ht="13.5" hidden="false" customHeight="true" outlineLevel="0" collapsed="false">
      <c r="A357" s="61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  <c r="AB357" s="45"/>
      <c r="AC357" s="45"/>
      <c r="AD357" s="45"/>
      <c r="AE357" s="45"/>
      <c r="AF357" s="45"/>
      <c r="AG357" s="45"/>
      <c r="AH357" s="45"/>
      <c r="AI357" s="45"/>
      <c r="AJ357" s="45"/>
      <c r="AK357" s="45"/>
      <c r="AL357" s="45"/>
    </row>
    <row r="358" customFormat="false" ht="13.5" hidden="false" customHeight="true" outlineLevel="0" collapsed="false">
      <c r="A358" s="59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</row>
    <row r="359" customFormat="false" ht="13.5" hidden="false" customHeight="true" outlineLevel="0" collapsed="false">
      <c r="A359" s="61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  <c r="AB359" s="45"/>
      <c r="AC359" s="45"/>
      <c r="AD359" s="45"/>
      <c r="AE359" s="45"/>
      <c r="AF359" s="45"/>
      <c r="AG359" s="45"/>
      <c r="AH359" s="45"/>
      <c r="AI359" s="45"/>
      <c r="AJ359" s="45"/>
      <c r="AK359" s="45"/>
      <c r="AL359" s="45"/>
    </row>
    <row r="360" customFormat="false" ht="13.5" hidden="false" customHeight="true" outlineLevel="0" collapsed="false">
      <c r="A360" s="59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</row>
    <row r="361" customFormat="false" ht="13.5" hidden="false" customHeight="true" outlineLevel="0" collapsed="false">
      <c r="A361" s="61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  <c r="AB361" s="45"/>
      <c r="AC361" s="45"/>
      <c r="AD361" s="45"/>
      <c r="AE361" s="45"/>
      <c r="AF361" s="45"/>
      <c r="AG361" s="45"/>
      <c r="AH361" s="45"/>
      <c r="AI361" s="45"/>
      <c r="AJ361" s="45"/>
      <c r="AK361" s="45"/>
      <c r="AL361" s="45"/>
    </row>
    <row r="362" customFormat="false" ht="13.5" hidden="false" customHeight="true" outlineLevel="0" collapsed="false">
      <c r="A362" s="59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</row>
    <row r="363" customFormat="false" ht="13.5" hidden="false" customHeight="true" outlineLevel="0" collapsed="false">
      <c r="A363" s="61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  <c r="AB363" s="45"/>
      <c r="AC363" s="45"/>
      <c r="AD363" s="45"/>
      <c r="AE363" s="45"/>
      <c r="AF363" s="45"/>
      <c r="AG363" s="45"/>
      <c r="AH363" s="45"/>
      <c r="AI363" s="45"/>
      <c r="AJ363" s="45"/>
      <c r="AK363" s="45"/>
      <c r="AL363" s="45"/>
    </row>
    <row r="364" customFormat="false" ht="13.5" hidden="false" customHeight="true" outlineLevel="0" collapsed="false">
      <c r="A364" s="59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</row>
    <row r="365" customFormat="false" ht="13.5" hidden="false" customHeight="true" outlineLevel="0" collapsed="false">
      <c r="A365" s="61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5"/>
      <c r="AF365" s="45"/>
      <c r="AG365" s="45"/>
      <c r="AH365" s="45"/>
      <c r="AI365" s="45"/>
      <c r="AJ365" s="45"/>
      <c r="AK365" s="45"/>
      <c r="AL365" s="45"/>
    </row>
    <row r="366" customFormat="false" ht="13.5" hidden="false" customHeight="true" outlineLevel="0" collapsed="false">
      <c r="A366" s="59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</row>
    <row r="367" customFormat="false" ht="13.5" hidden="false" customHeight="true" outlineLevel="0" collapsed="false">
      <c r="A367" s="61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5"/>
    </row>
    <row r="368" customFormat="false" ht="13.5" hidden="false" customHeight="true" outlineLevel="0" collapsed="false">
      <c r="A368" s="59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</row>
    <row r="369" customFormat="false" ht="13.5" hidden="false" customHeight="true" outlineLevel="0" collapsed="false">
      <c r="A369" s="61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  <c r="AB369" s="45"/>
      <c r="AC369" s="45"/>
      <c r="AD369" s="45"/>
      <c r="AE369" s="45"/>
      <c r="AF369" s="45"/>
      <c r="AG369" s="45"/>
      <c r="AH369" s="45"/>
      <c r="AI369" s="45"/>
      <c r="AJ369" s="45"/>
      <c r="AK369" s="45"/>
      <c r="AL369" s="45"/>
    </row>
    <row r="370" customFormat="false" ht="13.5" hidden="false" customHeight="true" outlineLevel="0" collapsed="false">
      <c r="A370" s="59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</row>
    <row r="371" customFormat="false" ht="13.5" hidden="false" customHeight="true" outlineLevel="0" collapsed="false">
      <c r="A371" s="61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  <c r="AB371" s="45"/>
      <c r="AC371" s="45"/>
      <c r="AD371" s="45"/>
      <c r="AE371" s="45"/>
      <c r="AF371" s="45"/>
      <c r="AG371" s="45"/>
      <c r="AH371" s="45"/>
      <c r="AI371" s="45"/>
      <c r="AJ371" s="45"/>
      <c r="AK371" s="45"/>
      <c r="AL371" s="45"/>
    </row>
    <row r="372" customFormat="false" ht="13.5" hidden="false" customHeight="true" outlineLevel="0" collapsed="false">
      <c r="A372" s="59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</row>
    <row r="373" customFormat="false" ht="13.5" hidden="false" customHeight="true" outlineLevel="0" collapsed="false">
      <c r="A373" s="61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  <c r="AB373" s="45"/>
      <c r="AC373" s="45"/>
      <c r="AD373" s="45"/>
      <c r="AE373" s="45"/>
      <c r="AF373" s="45"/>
      <c r="AG373" s="45"/>
      <c r="AH373" s="45"/>
      <c r="AI373" s="45"/>
      <c r="AJ373" s="45"/>
      <c r="AK373" s="45"/>
      <c r="AL373" s="45"/>
    </row>
    <row r="374" customFormat="false" ht="13.5" hidden="false" customHeight="true" outlineLevel="0" collapsed="false">
      <c r="A374" s="59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</row>
    <row r="375" customFormat="false" ht="13.5" hidden="false" customHeight="true" outlineLevel="0" collapsed="false">
      <c r="A375" s="61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  <c r="AB375" s="45"/>
      <c r="AC375" s="45"/>
      <c r="AD375" s="45"/>
      <c r="AE375" s="45"/>
      <c r="AF375" s="45"/>
      <c r="AG375" s="45"/>
      <c r="AH375" s="45"/>
      <c r="AI375" s="45"/>
      <c r="AJ375" s="45"/>
      <c r="AK375" s="45"/>
      <c r="AL375" s="45"/>
    </row>
    <row r="376" customFormat="false" ht="13.5" hidden="false" customHeight="true" outlineLevel="0" collapsed="false">
      <c r="A376" s="59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</row>
    <row r="377" customFormat="false" ht="13.5" hidden="false" customHeight="true" outlineLevel="0" collapsed="false">
      <c r="A377" s="61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  <c r="AB377" s="45"/>
      <c r="AC377" s="45"/>
      <c r="AD377" s="45"/>
      <c r="AE377" s="45"/>
      <c r="AF377" s="45"/>
      <c r="AG377" s="45"/>
      <c r="AH377" s="45"/>
      <c r="AI377" s="45"/>
      <c r="AJ377" s="45"/>
      <c r="AK377" s="45"/>
      <c r="AL377" s="45"/>
    </row>
    <row r="378" customFormat="false" ht="13.5" hidden="false" customHeight="true" outlineLevel="0" collapsed="false">
      <c r="A378" s="59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</row>
    <row r="379" customFormat="false" ht="13.5" hidden="false" customHeight="true" outlineLevel="0" collapsed="false">
      <c r="A379" s="61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  <c r="AB379" s="45"/>
      <c r="AC379" s="45"/>
      <c r="AD379" s="45"/>
      <c r="AE379" s="45"/>
      <c r="AF379" s="45"/>
      <c r="AG379" s="45"/>
      <c r="AH379" s="45"/>
      <c r="AI379" s="45"/>
      <c r="AJ379" s="45"/>
      <c r="AK379" s="45"/>
      <c r="AL379" s="45"/>
    </row>
    <row r="380" customFormat="false" ht="13.5" hidden="false" customHeight="true" outlineLevel="0" collapsed="false">
      <c r="A380" s="59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</row>
    <row r="381" customFormat="false" ht="13.5" hidden="false" customHeight="true" outlineLevel="0" collapsed="false">
      <c r="A381" s="61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  <c r="AB381" s="45"/>
      <c r="AC381" s="45"/>
      <c r="AD381" s="45"/>
      <c r="AE381" s="45"/>
      <c r="AF381" s="45"/>
      <c r="AG381" s="45"/>
      <c r="AH381" s="45"/>
      <c r="AI381" s="45"/>
      <c r="AJ381" s="45"/>
      <c r="AK381" s="45"/>
      <c r="AL381" s="45"/>
    </row>
    <row r="382" customFormat="false" ht="13.5" hidden="false" customHeight="true" outlineLevel="0" collapsed="false">
      <c r="A382" s="59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</row>
    <row r="383" customFormat="false" ht="13.5" hidden="false" customHeight="true" outlineLevel="0" collapsed="false">
      <c r="A383" s="61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  <c r="AB383" s="45"/>
      <c r="AC383" s="45"/>
      <c r="AD383" s="45"/>
      <c r="AE383" s="45"/>
      <c r="AF383" s="45"/>
      <c r="AG383" s="45"/>
      <c r="AH383" s="45"/>
      <c r="AI383" s="45"/>
      <c r="AJ383" s="45"/>
      <c r="AK383" s="45"/>
      <c r="AL383" s="45"/>
    </row>
    <row r="384" customFormat="false" ht="13.5" hidden="false" customHeight="true" outlineLevel="0" collapsed="false">
      <c r="A384" s="59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</row>
    <row r="385" customFormat="false" ht="13.5" hidden="false" customHeight="true" outlineLevel="0" collapsed="false">
      <c r="A385" s="61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  <c r="AB385" s="45"/>
      <c r="AC385" s="45"/>
      <c r="AD385" s="45"/>
      <c r="AE385" s="45"/>
      <c r="AF385" s="45"/>
      <c r="AG385" s="45"/>
      <c r="AH385" s="45"/>
      <c r="AI385" s="45"/>
      <c r="AJ385" s="45"/>
      <c r="AK385" s="45"/>
      <c r="AL385" s="45"/>
    </row>
    <row r="386" customFormat="false" ht="13.5" hidden="false" customHeight="true" outlineLevel="0" collapsed="false">
      <c r="A386" s="59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</row>
    <row r="387" customFormat="false" ht="13.5" hidden="false" customHeight="true" outlineLevel="0" collapsed="false">
      <c r="A387" s="61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5"/>
      <c r="AE387" s="45"/>
      <c r="AF387" s="45"/>
      <c r="AG387" s="45"/>
      <c r="AH387" s="45"/>
      <c r="AI387" s="45"/>
      <c r="AJ387" s="45"/>
      <c r="AK387" s="45"/>
      <c r="AL387" s="45"/>
    </row>
    <row r="388" customFormat="false" ht="13.5" hidden="false" customHeight="true" outlineLevel="0" collapsed="false">
      <c r="A388" s="59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</row>
    <row r="389" customFormat="false" ht="13.5" hidden="false" customHeight="true" outlineLevel="0" collapsed="false">
      <c r="A389" s="61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  <c r="AB389" s="45"/>
      <c r="AC389" s="45"/>
      <c r="AD389" s="45"/>
      <c r="AE389" s="45"/>
      <c r="AF389" s="45"/>
      <c r="AG389" s="45"/>
      <c r="AH389" s="45"/>
      <c r="AI389" s="45"/>
      <c r="AJ389" s="45"/>
      <c r="AK389" s="45"/>
      <c r="AL389" s="45"/>
    </row>
    <row r="390" customFormat="false" ht="13.5" hidden="false" customHeight="true" outlineLevel="0" collapsed="false">
      <c r="A390" s="59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</row>
    <row r="391" customFormat="false" ht="13.5" hidden="false" customHeight="true" outlineLevel="0" collapsed="false">
      <c r="A391" s="61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  <c r="AB391" s="45"/>
      <c r="AC391" s="45"/>
      <c r="AD391" s="45"/>
      <c r="AE391" s="45"/>
      <c r="AF391" s="45"/>
      <c r="AG391" s="45"/>
      <c r="AH391" s="45"/>
      <c r="AI391" s="45"/>
      <c r="AJ391" s="45"/>
      <c r="AK391" s="45"/>
      <c r="AL391" s="45"/>
    </row>
    <row r="392" customFormat="false" ht="13.5" hidden="false" customHeight="true" outlineLevel="0" collapsed="false">
      <c r="A392" s="59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</row>
    <row r="393" customFormat="false" ht="13.5" hidden="false" customHeight="true" outlineLevel="0" collapsed="false">
      <c r="A393" s="61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  <c r="AB393" s="45"/>
      <c r="AC393" s="45"/>
      <c r="AD393" s="45"/>
      <c r="AE393" s="45"/>
      <c r="AF393" s="45"/>
      <c r="AG393" s="45"/>
      <c r="AH393" s="45"/>
      <c r="AI393" s="45"/>
      <c r="AJ393" s="45"/>
      <c r="AK393" s="45"/>
      <c r="AL393" s="45"/>
    </row>
    <row r="394" customFormat="false" ht="13.5" hidden="false" customHeight="true" outlineLevel="0" collapsed="false">
      <c r="A394" s="59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</row>
    <row r="395" customFormat="false" ht="13.5" hidden="false" customHeight="true" outlineLevel="0" collapsed="false">
      <c r="A395" s="61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  <c r="AB395" s="45"/>
      <c r="AC395" s="45"/>
      <c r="AD395" s="45"/>
      <c r="AE395" s="45"/>
      <c r="AF395" s="45"/>
      <c r="AG395" s="45"/>
      <c r="AH395" s="45"/>
      <c r="AI395" s="45"/>
      <c r="AJ395" s="45"/>
      <c r="AK395" s="45"/>
      <c r="AL395" s="45"/>
    </row>
    <row r="396" customFormat="false" ht="13.5" hidden="false" customHeight="true" outlineLevel="0" collapsed="false">
      <c r="A396" s="59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</row>
    <row r="397" customFormat="false" ht="13.5" hidden="false" customHeight="true" outlineLevel="0" collapsed="false">
      <c r="A397" s="61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  <c r="AB397" s="45"/>
      <c r="AC397" s="45"/>
      <c r="AD397" s="45"/>
      <c r="AE397" s="45"/>
      <c r="AF397" s="45"/>
      <c r="AG397" s="45"/>
      <c r="AH397" s="45"/>
      <c r="AI397" s="45"/>
      <c r="AJ397" s="45"/>
      <c r="AK397" s="45"/>
      <c r="AL397" s="45"/>
    </row>
    <row r="398" customFormat="false" ht="13.5" hidden="false" customHeight="true" outlineLevel="0" collapsed="false">
      <c r="A398" s="59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</row>
    <row r="399" customFormat="false" ht="13.5" hidden="false" customHeight="true" outlineLevel="0" collapsed="false">
      <c r="A399" s="61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  <c r="AB399" s="45"/>
      <c r="AC399" s="45"/>
      <c r="AD399" s="45"/>
      <c r="AE399" s="45"/>
      <c r="AF399" s="45"/>
      <c r="AG399" s="45"/>
      <c r="AH399" s="45"/>
      <c r="AI399" s="45"/>
      <c r="AJ399" s="45"/>
      <c r="AK399" s="45"/>
      <c r="AL399" s="45"/>
    </row>
    <row r="400" customFormat="false" ht="13.5" hidden="false" customHeight="true" outlineLevel="0" collapsed="false">
      <c r="A400" s="59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</row>
    <row r="401" customFormat="false" ht="13.5" hidden="false" customHeight="true" outlineLevel="0" collapsed="false">
      <c r="A401" s="61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  <c r="AB401" s="45"/>
      <c r="AC401" s="45"/>
      <c r="AD401" s="45"/>
      <c r="AE401" s="45"/>
      <c r="AF401" s="45"/>
      <c r="AG401" s="45"/>
      <c r="AH401" s="45"/>
      <c r="AI401" s="45"/>
      <c r="AJ401" s="45"/>
      <c r="AK401" s="45"/>
      <c r="AL401" s="45"/>
    </row>
    <row r="402" customFormat="false" ht="13.5" hidden="false" customHeight="true" outlineLevel="0" collapsed="false">
      <c r="A402" s="59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</row>
    <row r="403" customFormat="false" ht="13.5" hidden="false" customHeight="true" outlineLevel="0" collapsed="false">
      <c r="A403" s="61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  <c r="AB403" s="45"/>
      <c r="AC403" s="45"/>
      <c r="AD403" s="45"/>
      <c r="AE403" s="45"/>
      <c r="AF403" s="45"/>
      <c r="AG403" s="45"/>
      <c r="AH403" s="45"/>
      <c r="AI403" s="45"/>
      <c r="AJ403" s="45"/>
      <c r="AK403" s="45"/>
      <c r="AL403" s="45"/>
    </row>
    <row r="404" customFormat="false" ht="13.5" hidden="false" customHeight="true" outlineLevel="0" collapsed="false">
      <c r="A404" s="59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</row>
    <row r="405" customFormat="false" ht="13.5" hidden="false" customHeight="true" outlineLevel="0" collapsed="false">
      <c r="A405" s="61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5"/>
    </row>
    <row r="406" customFormat="false" ht="13.5" hidden="false" customHeight="true" outlineLevel="0" collapsed="false">
      <c r="A406" s="59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</row>
    <row r="407" customFormat="false" ht="13.5" hidden="false" customHeight="true" outlineLevel="0" collapsed="false">
      <c r="A407" s="61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  <c r="AA407" s="45"/>
      <c r="AB407" s="45"/>
      <c r="AC407" s="45"/>
      <c r="AD407" s="45"/>
      <c r="AE407" s="45"/>
      <c r="AF407" s="45"/>
      <c r="AG407" s="45"/>
      <c r="AH407" s="45"/>
      <c r="AI407" s="45"/>
      <c r="AJ407" s="45"/>
      <c r="AK407" s="45"/>
      <c r="AL407" s="45"/>
    </row>
    <row r="408" customFormat="false" ht="13.5" hidden="false" customHeight="true" outlineLevel="0" collapsed="false">
      <c r="A408" s="59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</row>
    <row r="409" customFormat="false" ht="13.5" hidden="false" customHeight="true" outlineLevel="0" collapsed="false">
      <c r="A409" s="61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  <c r="AA409" s="45"/>
      <c r="AB409" s="45"/>
      <c r="AC409" s="45"/>
      <c r="AD409" s="45"/>
      <c r="AE409" s="45"/>
      <c r="AF409" s="45"/>
      <c r="AG409" s="45"/>
      <c r="AH409" s="45"/>
      <c r="AI409" s="45"/>
      <c r="AJ409" s="45"/>
      <c r="AK409" s="45"/>
      <c r="AL409" s="45"/>
    </row>
    <row r="410" customFormat="false" ht="13.5" hidden="false" customHeight="true" outlineLevel="0" collapsed="false">
      <c r="A410" s="59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</row>
    <row r="411" customFormat="false" ht="13.5" hidden="false" customHeight="true" outlineLevel="0" collapsed="false">
      <c r="A411" s="61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  <c r="AA411" s="45"/>
      <c r="AB411" s="45"/>
      <c r="AC411" s="45"/>
      <c r="AD411" s="45"/>
      <c r="AE411" s="45"/>
      <c r="AF411" s="45"/>
      <c r="AG411" s="45"/>
      <c r="AH411" s="45"/>
      <c r="AI411" s="45"/>
      <c r="AJ411" s="45"/>
      <c r="AK411" s="45"/>
      <c r="AL411" s="45"/>
    </row>
    <row r="412" customFormat="false" ht="13.5" hidden="false" customHeight="true" outlineLevel="0" collapsed="false">
      <c r="A412" s="59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</row>
    <row r="413" customFormat="false" ht="13.5" hidden="false" customHeight="true" outlineLevel="0" collapsed="false">
      <c r="A413" s="61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  <c r="AA413" s="45"/>
      <c r="AB413" s="45"/>
      <c r="AC413" s="45"/>
      <c r="AD413" s="45"/>
      <c r="AE413" s="45"/>
      <c r="AF413" s="45"/>
      <c r="AG413" s="45"/>
      <c r="AH413" s="45"/>
      <c r="AI413" s="45"/>
      <c r="AJ413" s="45"/>
      <c r="AK413" s="45"/>
      <c r="AL413" s="45"/>
    </row>
    <row r="414" customFormat="false" ht="13.5" hidden="false" customHeight="true" outlineLevel="0" collapsed="false">
      <c r="A414" s="59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</row>
    <row r="415" customFormat="false" ht="13.5" hidden="false" customHeight="true" outlineLevel="0" collapsed="false">
      <c r="A415" s="61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  <c r="AA415" s="45"/>
      <c r="AB415" s="45"/>
      <c r="AC415" s="45"/>
      <c r="AD415" s="45"/>
      <c r="AE415" s="45"/>
      <c r="AF415" s="45"/>
      <c r="AG415" s="45"/>
      <c r="AH415" s="45"/>
      <c r="AI415" s="45"/>
      <c r="AJ415" s="45"/>
      <c r="AK415" s="45"/>
      <c r="AL415" s="45"/>
    </row>
    <row r="416" customFormat="false" ht="13.5" hidden="false" customHeight="true" outlineLevel="0" collapsed="false">
      <c r="A416" s="59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</row>
    <row r="417" customFormat="false" ht="13.5" hidden="false" customHeight="true" outlineLevel="0" collapsed="false">
      <c r="A417" s="61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  <c r="AA417" s="45"/>
      <c r="AB417" s="45"/>
      <c r="AC417" s="45"/>
      <c r="AD417" s="45"/>
      <c r="AE417" s="45"/>
      <c r="AF417" s="45"/>
      <c r="AG417" s="45"/>
      <c r="AH417" s="45"/>
      <c r="AI417" s="45"/>
      <c r="AJ417" s="45"/>
      <c r="AK417" s="45"/>
      <c r="AL417" s="45"/>
    </row>
    <row r="418" customFormat="false" ht="13.5" hidden="false" customHeight="true" outlineLevel="0" collapsed="false">
      <c r="A418" s="59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</row>
    <row r="419" customFormat="false" ht="13.5" hidden="false" customHeight="true" outlineLevel="0" collapsed="false">
      <c r="A419" s="61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5"/>
      <c r="AE419" s="45"/>
      <c r="AF419" s="45"/>
      <c r="AG419" s="45"/>
      <c r="AH419" s="45"/>
      <c r="AI419" s="45"/>
      <c r="AJ419" s="45"/>
      <c r="AK419" s="45"/>
      <c r="AL419" s="45"/>
    </row>
    <row r="420" customFormat="false" ht="13.5" hidden="false" customHeight="true" outlineLevel="0" collapsed="false">
      <c r="A420" s="59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</row>
    <row r="421" customFormat="false" ht="13.5" hidden="false" customHeight="true" outlineLevel="0" collapsed="false">
      <c r="A421" s="61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5"/>
      <c r="AE421" s="45"/>
      <c r="AF421" s="45"/>
      <c r="AG421" s="45"/>
      <c r="AH421" s="45"/>
      <c r="AI421" s="45"/>
      <c r="AJ421" s="45"/>
      <c r="AK421" s="45"/>
      <c r="AL421" s="45"/>
    </row>
    <row r="422" customFormat="false" ht="13.5" hidden="false" customHeight="true" outlineLevel="0" collapsed="false">
      <c r="A422" s="59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</row>
    <row r="423" customFormat="false" ht="13.5" hidden="false" customHeight="true" outlineLevel="0" collapsed="false">
      <c r="A423" s="61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  <c r="AA423" s="45"/>
      <c r="AB423" s="45"/>
      <c r="AC423" s="45"/>
      <c r="AD423" s="45"/>
      <c r="AE423" s="45"/>
      <c r="AF423" s="45"/>
      <c r="AG423" s="45"/>
      <c r="AH423" s="45"/>
      <c r="AI423" s="45"/>
      <c r="AJ423" s="45"/>
      <c r="AK423" s="45"/>
      <c r="AL423" s="45"/>
    </row>
    <row r="424" customFormat="false" ht="13.5" hidden="false" customHeight="true" outlineLevel="0" collapsed="false">
      <c r="A424" s="59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</row>
    <row r="425" customFormat="false" ht="13.5" hidden="false" customHeight="true" outlineLevel="0" collapsed="false">
      <c r="A425" s="61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5"/>
      <c r="AF425" s="45"/>
      <c r="AG425" s="45"/>
      <c r="AH425" s="45"/>
      <c r="AI425" s="45"/>
      <c r="AJ425" s="45"/>
      <c r="AK425" s="45"/>
      <c r="AL425" s="45"/>
    </row>
    <row r="426" customFormat="false" ht="13.5" hidden="false" customHeight="true" outlineLevel="0" collapsed="false">
      <c r="A426" s="59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</row>
    <row r="427" customFormat="false" ht="13.5" hidden="false" customHeight="true" outlineLevel="0" collapsed="false">
      <c r="A427" s="61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  <c r="AA427" s="45"/>
      <c r="AB427" s="45"/>
      <c r="AC427" s="45"/>
      <c r="AD427" s="45"/>
      <c r="AE427" s="45"/>
      <c r="AF427" s="45"/>
      <c r="AG427" s="45"/>
      <c r="AH427" s="45"/>
      <c r="AI427" s="45"/>
      <c r="AJ427" s="45"/>
      <c r="AK427" s="45"/>
      <c r="AL427" s="45"/>
    </row>
    <row r="428" customFormat="false" ht="13.5" hidden="false" customHeight="true" outlineLevel="0" collapsed="false">
      <c r="A428" s="59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</row>
    <row r="429" customFormat="false" ht="13.5" hidden="false" customHeight="true" outlineLevel="0" collapsed="false">
      <c r="A429" s="61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  <c r="AA429" s="45"/>
      <c r="AB429" s="45"/>
      <c r="AC429" s="45"/>
      <c r="AD429" s="45"/>
      <c r="AE429" s="45"/>
      <c r="AF429" s="45"/>
      <c r="AG429" s="45"/>
      <c r="AH429" s="45"/>
      <c r="AI429" s="45"/>
      <c r="AJ429" s="45"/>
      <c r="AK429" s="45"/>
      <c r="AL429" s="45"/>
    </row>
    <row r="430" customFormat="false" ht="13.5" hidden="false" customHeight="true" outlineLevel="0" collapsed="false">
      <c r="A430" s="59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</row>
    <row r="431" customFormat="false" ht="13.5" hidden="false" customHeight="true" outlineLevel="0" collapsed="false">
      <c r="A431" s="61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  <c r="AA431" s="45"/>
      <c r="AB431" s="45"/>
      <c r="AC431" s="45"/>
      <c r="AD431" s="45"/>
      <c r="AE431" s="45"/>
      <c r="AF431" s="45"/>
      <c r="AG431" s="45"/>
      <c r="AH431" s="45"/>
      <c r="AI431" s="45"/>
      <c r="AJ431" s="45"/>
      <c r="AK431" s="45"/>
      <c r="AL431" s="45"/>
    </row>
    <row r="432" customFormat="false" ht="13.5" hidden="false" customHeight="true" outlineLevel="0" collapsed="false">
      <c r="A432" s="59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</row>
    <row r="433" customFormat="false" ht="13.5" hidden="false" customHeight="true" outlineLevel="0" collapsed="false">
      <c r="A433" s="61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  <c r="AA433" s="45"/>
      <c r="AB433" s="45"/>
      <c r="AC433" s="45"/>
      <c r="AD433" s="45"/>
      <c r="AE433" s="45"/>
      <c r="AF433" s="45"/>
      <c r="AG433" s="45"/>
      <c r="AH433" s="45"/>
      <c r="AI433" s="45"/>
      <c r="AJ433" s="45"/>
      <c r="AK433" s="45"/>
      <c r="AL433" s="45"/>
    </row>
    <row r="434" customFormat="false" ht="13.5" hidden="false" customHeight="true" outlineLevel="0" collapsed="false">
      <c r="A434" s="59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</row>
    <row r="435" customFormat="false" ht="13.5" hidden="false" customHeight="true" outlineLevel="0" collapsed="false">
      <c r="A435" s="61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  <c r="AA435" s="45"/>
      <c r="AB435" s="45"/>
      <c r="AC435" s="45"/>
      <c r="AD435" s="45"/>
      <c r="AE435" s="45"/>
      <c r="AF435" s="45"/>
      <c r="AG435" s="45"/>
      <c r="AH435" s="45"/>
      <c r="AI435" s="45"/>
      <c r="AJ435" s="45"/>
      <c r="AK435" s="45"/>
      <c r="AL435" s="45"/>
    </row>
    <row r="436" customFormat="false" ht="13.5" hidden="false" customHeight="true" outlineLevel="0" collapsed="false">
      <c r="A436" s="59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</row>
    <row r="437" customFormat="false" ht="13.5" hidden="false" customHeight="true" outlineLevel="0" collapsed="false">
      <c r="A437" s="61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  <c r="AA437" s="45"/>
      <c r="AB437" s="45"/>
      <c r="AC437" s="45"/>
      <c r="AD437" s="45"/>
      <c r="AE437" s="45"/>
      <c r="AF437" s="45"/>
      <c r="AG437" s="45"/>
      <c r="AH437" s="45"/>
      <c r="AI437" s="45"/>
      <c r="AJ437" s="45"/>
      <c r="AK437" s="45"/>
      <c r="AL437" s="45"/>
    </row>
    <row r="438" customFormat="false" ht="13.5" hidden="false" customHeight="true" outlineLevel="0" collapsed="false">
      <c r="A438" s="59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</row>
    <row r="439" customFormat="false" ht="13.5" hidden="false" customHeight="true" outlineLevel="0" collapsed="false">
      <c r="A439" s="61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  <c r="AA439" s="45"/>
      <c r="AB439" s="45"/>
      <c r="AC439" s="45"/>
      <c r="AD439" s="45"/>
      <c r="AE439" s="45"/>
      <c r="AF439" s="45"/>
      <c r="AG439" s="45"/>
      <c r="AH439" s="45"/>
      <c r="AI439" s="45"/>
      <c r="AJ439" s="45"/>
      <c r="AK439" s="45"/>
      <c r="AL439" s="45"/>
    </row>
    <row r="440" customFormat="false" ht="13.5" hidden="false" customHeight="true" outlineLevel="0" collapsed="false">
      <c r="A440" s="59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</row>
    <row r="441" customFormat="false" ht="13.5" hidden="false" customHeight="true" outlineLevel="0" collapsed="false">
      <c r="A441" s="61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  <c r="AA441" s="45"/>
      <c r="AB441" s="45"/>
      <c r="AC441" s="45"/>
      <c r="AD441" s="45"/>
      <c r="AE441" s="45"/>
      <c r="AF441" s="45"/>
      <c r="AG441" s="45"/>
      <c r="AH441" s="45"/>
      <c r="AI441" s="45"/>
      <c r="AJ441" s="45"/>
      <c r="AK441" s="45"/>
      <c r="AL441" s="45"/>
    </row>
    <row r="442" customFormat="false" ht="13.5" hidden="false" customHeight="true" outlineLevel="0" collapsed="false">
      <c r="A442" s="59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</row>
    <row r="443" customFormat="false" ht="13.5" hidden="false" customHeight="true" outlineLevel="0" collapsed="false">
      <c r="A443" s="61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5"/>
    </row>
    <row r="444" customFormat="false" ht="13.5" hidden="false" customHeight="true" outlineLevel="0" collapsed="false">
      <c r="A444" s="59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</row>
    <row r="445" customFormat="false" ht="13.5" hidden="false" customHeight="true" outlineLevel="0" collapsed="false">
      <c r="A445" s="61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  <c r="AJ445" s="45"/>
      <c r="AK445" s="45"/>
      <c r="AL445" s="45"/>
    </row>
    <row r="446" customFormat="false" ht="13.5" hidden="false" customHeight="true" outlineLevel="0" collapsed="false">
      <c r="A446" s="59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</row>
    <row r="447" customFormat="false" ht="13.5" hidden="false" customHeight="true" outlineLevel="0" collapsed="false">
      <c r="A447" s="61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  <c r="AA447" s="45"/>
      <c r="AB447" s="45"/>
      <c r="AC447" s="45"/>
      <c r="AD447" s="45"/>
      <c r="AE447" s="45"/>
      <c r="AF447" s="45"/>
      <c r="AG447" s="45"/>
      <c r="AH447" s="45"/>
      <c r="AI447" s="45"/>
      <c r="AJ447" s="45"/>
      <c r="AK447" s="45"/>
      <c r="AL447" s="45"/>
    </row>
    <row r="448" customFormat="false" ht="13.5" hidden="false" customHeight="true" outlineLevel="0" collapsed="false">
      <c r="A448" s="59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</row>
    <row r="449" customFormat="false" ht="13.5" hidden="false" customHeight="true" outlineLevel="0" collapsed="false">
      <c r="A449" s="61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  <c r="AA449" s="45"/>
      <c r="AB449" s="45"/>
      <c r="AC449" s="45"/>
      <c r="AD449" s="45"/>
      <c r="AE449" s="45"/>
      <c r="AF449" s="45"/>
      <c r="AG449" s="45"/>
      <c r="AH449" s="45"/>
      <c r="AI449" s="45"/>
      <c r="AJ449" s="45"/>
      <c r="AK449" s="45"/>
      <c r="AL449" s="45"/>
    </row>
    <row r="450" customFormat="false" ht="13.5" hidden="false" customHeight="true" outlineLevel="0" collapsed="false">
      <c r="A450" s="59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</row>
    <row r="451" customFormat="false" ht="13.5" hidden="false" customHeight="true" outlineLevel="0" collapsed="false">
      <c r="A451" s="61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  <c r="AA451" s="45"/>
      <c r="AB451" s="45"/>
      <c r="AC451" s="45"/>
      <c r="AD451" s="45"/>
      <c r="AE451" s="45"/>
      <c r="AF451" s="45"/>
      <c r="AG451" s="45"/>
      <c r="AH451" s="45"/>
      <c r="AI451" s="45"/>
      <c r="AJ451" s="45"/>
      <c r="AK451" s="45"/>
      <c r="AL451" s="45"/>
    </row>
    <row r="452" customFormat="false" ht="13.5" hidden="false" customHeight="true" outlineLevel="0" collapsed="false">
      <c r="A452" s="59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</row>
    <row r="453" customFormat="false" ht="13.5" hidden="false" customHeight="true" outlineLevel="0" collapsed="false">
      <c r="A453" s="61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  <c r="AA453" s="45"/>
      <c r="AB453" s="45"/>
      <c r="AC453" s="45"/>
      <c r="AD453" s="45"/>
      <c r="AE453" s="45"/>
      <c r="AF453" s="45"/>
      <c r="AG453" s="45"/>
      <c r="AH453" s="45"/>
      <c r="AI453" s="45"/>
      <c r="AJ453" s="45"/>
      <c r="AK453" s="45"/>
      <c r="AL453" s="45"/>
    </row>
    <row r="454" customFormat="false" ht="13.5" hidden="false" customHeight="true" outlineLevel="0" collapsed="false">
      <c r="A454" s="59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</row>
    <row r="455" customFormat="false" ht="13.5" hidden="false" customHeight="true" outlineLevel="0" collapsed="false">
      <c r="A455" s="61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  <c r="AA455" s="45"/>
      <c r="AB455" s="45"/>
      <c r="AC455" s="45"/>
      <c r="AD455" s="45"/>
      <c r="AE455" s="45"/>
      <c r="AF455" s="45"/>
      <c r="AG455" s="45"/>
      <c r="AH455" s="45"/>
      <c r="AI455" s="45"/>
      <c r="AJ455" s="45"/>
      <c r="AK455" s="45"/>
      <c r="AL455" s="45"/>
    </row>
    <row r="456" customFormat="false" ht="13.5" hidden="false" customHeight="true" outlineLevel="0" collapsed="false">
      <c r="A456" s="59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</row>
    <row r="457" customFormat="false" ht="13.5" hidden="false" customHeight="true" outlineLevel="0" collapsed="false">
      <c r="A457" s="61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  <c r="AA457" s="45"/>
      <c r="AB457" s="45"/>
      <c r="AC457" s="45"/>
      <c r="AD457" s="45"/>
      <c r="AE457" s="45"/>
      <c r="AF457" s="45"/>
      <c r="AG457" s="45"/>
      <c r="AH457" s="45"/>
      <c r="AI457" s="45"/>
      <c r="AJ457" s="45"/>
      <c r="AK457" s="45"/>
      <c r="AL457" s="45"/>
    </row>
    <row r="458" customFormat="false" ht="13.5" hidden="false" customHeight="true" outlineLevel="0" collapsed="false">
      <c r="A458" s="59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</row>
    <row r="459" customFormat="false" ht="13.5" hidden="false" customHeight="true" outlineLevel="0" collapsed="false">
      <c r="A459" s="61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  <c r="AA459" s="45"/>
      <c r="AB459" s="45"/>
      <c r="AC459" s="45"/>
      <c r="AD459" s="45"/>
      <c r="AE459" s="45"/>
      <c r="AF459" s="45"/>
      <c r="AG459" s="45"/>
      <c r="AH459" s="45"/>
      <c r="AI459" s="45"/>
      <c r="AJ459" s="45"/>
      <c r="AK459" s="45"/>
      <c r="AL459" s="45"/>
    </row>
    <row r="460" customFormat="false" ht="13.5" hidden="false" customHeight="true" outlineLevel="0" collapsed="false">
      <c r="A460" s="59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</row>
    <row r="461" customFormat="false" ht="13.5" hidden="false" customHeight="true" outlineLevel="0" collapsed="false">
      <c r="A461" s="61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  <c r="AA461" s="45"/>
      <c r="AB461" s="45"/>
      <c r="AC461" s="45"/>
      <c r="AD461" s="45"/>
      <c r="AE461" s="45"/>
      <c r="AF461" s="45"/>
      <c r="AG461" s="45"/>
      <c r="AH461" s="45"/>
      <c r="AI461" s="45"/>
      <c r="AJ461" s="45"/>
      <c r="AK461" s="45"/>
      <c r="AL461" s="45"/>
    </row>
    <row r="462" customFormat="false" ht="13.5" hidden="false" customHeight="true" outlineLevel="0" collapsed="false">
      <c r="A462" s="59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</row>
    <row r="463" customFormat="false" ht="13.5" hidden="false" customHeight="true" outlineLevel="0" collapsed="false">
      <c r="A463" s="61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  <c r="AA463" s="45"/>
      <c r="AB463" s="45"/>
      <c r="AC463" s="45"/>
      <c r="AD463" s="45"/>
      <c r="AE463" s="45"/>
      <c r="AF463" s="45"/>
      <c r="AG463" s="45"/>
      <c r="AH463" s="45"/>
      <c r="AI463" s="45"/>
      <c r="AJ463" s="45"/>
      <c r="AK463" s="45"/>
      <c r="AL463" s="45"/>
    </row>
    <row r="464" customFormat="false" ht="13.5" hidden="false" customHeight="true" outlineLevel="0" collapsed="false">
      <c r="A464" s="59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</row>
    <row r="465" customFormat="false" ht="13.5" hidden="false" customHeight="true" outlineLevel="0" collapsed="false">
      <c r="A465" s="61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  <c r="AA465" s="45"/>
      <c r="AB465" s="45"/>
      <c r="AC465" s="45"/>
      <c r="AD465" s="45"/>
      <c r="AE465" s="45"/>
      <c r="AF465" s="45"/>
      <c r="AG465" s="45"/>
      <c r="AH465" s="45"/>
      <c r="AI465" s="45"/>
      <c r="AJ465" s="45"/>
      <c r="AK465" s="45"/>
      <c r="AL465" s="45"/>
    </row>
    <row r="466" customFormat="false" ht="13.5" hidden="false" customHeight="true" outlineLevel="0" collapsed="false">
      <c r="A466" s="59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</row>
    <row r="467" customFormat="false" ht="13.5" hidden="false" customHeight="true" outlineLevel="0" collapsed="false">
      <c r="A467" s="61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  <c r="AA467" s="45"/>
      <c r="AB467" s="45"/>
      <c r="AC467" s="45"/>
      <c r="AD467" s="45"/>
      <c r="AE467" s="45"/>
      <c r="AF467" s="45"/>
      <c r="AG467" s="45"/>
      <c r="AH467" s="45"/>
      <c r="AI467" s="45"/>
      <c r="AJ467" s="45"/>
      <c r="AK467" s="45"/>
      <c r="AL467" s="45"/>
    </row>
    <row r="468" customFormat="false" ht="13.5" hidden="false" customHeight="true" outlineLevel="0" collapsed="false">
      <c r="A468" s="59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</row>
    <row r="469" customFormat="false" ht="13.5" hidden="false" customHeight="true" outlineLevel="0" collapsed="false">
      <c r="A469" s="61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  <c r="AA469" s="45"/>
      <c r="AB469" s="45"/>
      <c r="AC469" s="45"/>
      <c r="AD469" s="45"/>
      <c r="AE469" s="45"/>
      <c r="AF469" s="45"/>
      <c r="AG469" s="45"/>
      <c r="AH469" s="45"/>
      <c r="AI469" s="45"/>
      <c r="AJ469" s="45"/>
      <c r="AK469" s="45"/>
      <c r="AL469" s="45"/>
    </row>
    <row r="470" customFormat="false" ht="13.5" hidden="false" customHeight="true" outlineLevel="0" collapsed="false">
      <c r="A470" s="59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</row>
    <row r="471" customFormat="false" ht="13.5" hidden="false" customHeight="true" outlineLevel="0" collapsed="false">
      <c r="A471" s="61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  <c r="AA471" s="45"/>
      <c r="AB471" s="45"/>
      <c r="AC471" s="45"/>
      <c r="AD471" s="45"/>
      <c r="AE471" s="45"/>
      <c r="AF471" s="45"/>
      <c r="AG471" s="45"/>
      <c r="AH471" s="45"/>
      <c r="AI471" s="45"/>
      <c r="AJ471" s="45"/>
      <c r="AK471" s="45"/>
      <c r="AL471" s="45"/>
    </row>
    <row r="472" customFormat="false" ht="13.5" hidden="false" customHeight="true" outlineLevel="0" collapsed="false">
      <c r="A472" s="59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</row>
    <row r="473" customFormat="false" ht="13.5" hidden="false" customHeight="true" outlineLevel="0" collapsed="false">
      <c r="A473" s="61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  <c r="AA473" s="45"/>
      <c r="AB473" s="45"/>
      <c r="AC473" s="45"/>
      <c r="AD473" s="45"/>
      <c r="AE473" s="45"/>
      <c r="AF473" s="45"/>
      <c r="AG473" s="45"/>
      <c r="AH473" s="45"/>
      <c r="AI473" s="45"/>
      <c r="AJ473" s="45"/>
      <c r="AK473" s="45"/>
      <c r="AL473" s="45"/>
    </row>
    <row r="474" customFormat="false" ht="13.5" hidden="false" customHeight="true" outlineLevel="0" collapsed="false">
      <c r="A474" s="59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</row>
    <row r="475" customFormat="false" ht="13.5" hidden="false" customHeight="true" outlineLevel="0" collapsed="false">
      <c r="A475" s="61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5"/>
      <c r="AF475" s="45"/>
      <c r="AG475" s="45"/>
      <c r="AH475" s="45"/>
      <c r="AI475" s="45"/>
      <c r="AJ475" s="45"/>
      <c r="AK475" s="45"/>
      <c r="AL475" s="45"/>
    </row>
    <row r="476" customFormat="false" ht="13.5" hidden="false" customHeight="true" outlineLevel="0" collapsed="false">
      <c r="A476" s="59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</row>
    <row r="477" customFormat="false" ht="13.5" hidden="false" customHeight="true" outlineLevel="0" collapsed="false">
      <c r="A477" s="61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  <c r="AA477" s="45"/>
      <c r="AB477" s="45"/>
      <c r="AC477" s="45"/>
      <c r="AD477" s="45"/>
      <c r="AE477" s="45"/>
      <c r="AF477" s="45"/>
      <c r="AG477" s="45"/>
      <c r="AH477" s="45"/>
      <c r="AI477" s="45"/>
      <c r="AJ477" s="45"/>
      <c r="AK477" s="45"/>
      <c r="AL477" s="45"/>
    </row>
    <row r="478" customFormat="false" ht="13.5" hidden="false" customHeight="true" outlineLevel="0" collapsed="false">
      <c r="A478" s="59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</row>
    <row r="479" customFormat="false" ht="13.5" hidden="false" customHeight="true" outlineLevel="0" collapsed="false">
      <c r="A479" s="61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  <c r="AA479" s="45"/>
      <c r="AB479" s="45"/>
      <c r="AC479" s="45"/>
      <c r="AD479" s="45"/>
      <c r="AE479" s="45"/>
      <c r="AF479" s="45"/>
      <c r="AG479" s="45"/>
      <c r="AH479" s="45"/>
      <c r="AI479" s="45"/>
      <c r="AJ479" s="45"/>
      <c r="AK479" s="45"/>
      <c r="AL479" s="45"/>
    </row>
    <row r="480" customFormat="false" ht="13.5" hidden="false" customHeight="true" outlineLevel="0" collapsed="false">
      <c r="A480" s="59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</row>
    <row r="481" customFormat="false" ht="13.5" hidden="false" customHeight="true" outlineLevel="0" collapsed="false">
      <c r="A481" s="61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5"/>
    </row>
    <row r="482" customFormat="false" ht="13.5" hidden="false" customHeight="true" outlineLevel="0" collapsed="false">
      <c r="A482" s="59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</row>
    <row r="483" customFormat="false" ht="13.5" hidden="false" customHeight="true" outlineLevel="0" collapsed="false">
      <c r="A483" s="61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  <c r="AA483" s="45"/>
      <c r="AB483" s="45"/>
      <c r="AC483" s="45"/>
      <c r="AD483" s="45"/>
      <c r="AE483" s="45"/>
      <c r="AF483" s="45"/>
      <c r="AG483" s="45"/>
      <c r="AH483" s="45"/>
      <c r="AI483" s="45"/>
      <c r="AJ483" s="45"/>
      <c r="AK483" s="45"/>
      <c r="AL483" s="45"/>
    </row>
    <row r="484" customFormat="false" ht="13.5" hidden="false" customHeight="true" outlineLevel="0" collapsed="false">
      <c r="A484" s="59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</row>
    <row r="485" customFormat="false" ht="13.5" hidden="false" customHeight="true" outlineLevel="0" collapsed="false">
      <c r="A485" s="61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  <c r="AA485" s="45"/>
      <c r="AB485" s="45"/>
      <c r="AC485" s="45"/>
      <c r="AD485" s="45"/>
      <c r="AE485" s="45"/>
      <c r="AF485" s="45"/>
      <c r="AG485" s="45"/>
      <c r="AH485" s="45"/>
      <c r="AI485" s="45"/>
      <c r="AJ485" s="45"/>
      <c r="AK485" s="45"/>
      <c r="AL485" s="45"/>
    </row>
    <row r="486" customFormat="false" ht="13.5" hidden="false" customHeight="true" outlineLevel="0" collapsed="false">
      <c r="A486" s="59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</row>
    <row r="487" customFormat="false" ht="13.5" hidden="false" customHeight="true" outlineLevel="0" collapsed="false">
      <c r="A487" s="61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  <c r="AA487" s="45"/>
      <c r="AB487" s="45"/>
      <c r="AC487" s="45"/>
      <c r="AD487" s="45"/>
      <c r="AE487" s="45"/>
      <c r="AF487" s="45"/>
      <c r="AG487" s="45"/>
      <c r="AH487" s="45"/>
      <c r="AI487" s="45"/>
      <c r="AJ487" s="45"/>
      <c r="AK487" s="45"/>
      <c r="AL487" s="45"/>
    </row>
    <row r="488" customFormat="false" ht="13.5" hidden="false" customHeight="true" outlineLevel="0" collapsed="false">
      <c r="A488" s="59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</row>
    <row r="489" customFormat="false" ht="13.5" hidden="false" customHeight="true" outlineLevel="0" collapsed="false">
      <c r="A489" s="61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  <c r="AA489" s="45"/>
      <c r="AB489" s="45"/>
      <c r="AC489" s="45"/>
      <c r="AD489" s="45"/>
      <c r="AE489" s="45"/>
      <c r="AF489" s="45"/>
      <c r="AG489" s="45"/>
      <c r="AH489" s="45"/>
      <c r="AI489" s="45"/>
      <c r="AJ489" s="45"/>
      <c r="AK489" s="45"/>
      <c r="AL489" s="45"/>
    </row>
    <row r="490" customFormat="false" ht="13.5" hidden="false" customHeight="true" outlineLevel="0" collapsed="false">
      <c r="A490" s="59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</row>
    <row r="491" customFormat="false" ht="13.5" hidden="false" customHeight="true" outlineLevel="0" collapsed="false">
      <c r="A491" s="61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  <c r="AA491" s="45"/>
      <c r="AB491" s="45"/>
      <c r="AC491" s="45"/>
      <c r="AD491" s="45"/>
      <c r="AE491" s="45"/>
      <c r="AF491" s="45"/>
      <c r="AG491" s="45"/>
      <c r="AH491" s="45"/>
      <c r="AI491" s="45"/>
      <c r="AJ491" s="45"/>
      <c r="AK491" s="45"/>
      <c r="AL491" s="45"/>
    </row>
    <row r="492" customFormat="false" ht="13.5" hidden="false" customHeight="true" outlineLevel="0" collapsed="false">
      <c r="A492" s="59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</row>
    <row r="493" customFormat="false" ht="13.5" hidden="false" customHeight="true" outlineLevel="0" collapsed="false">
      <c r="A493" s="61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  <c r="AA493" s="45"/>
      <c r="AB493" s="45"/>
      <c r="AC493" s="45"/>
      <c r="AD493" s="45"/>
      <c r="AE493" s="45"/>
      <c r="AF493" s="45"/>
      <c r="AG493" s="45"/>
      <c r="AH493" s="45"/>
      <c r="AI493" s="45"/>
      <c r="AJ493" s="45"/>
      <c r="AK493" s="45"/>
      <c r="AL493" s="45"/>
    </row>
    <row r="494" customFormat="false" ht="13.5" hidden="false" customHeight="true" outlineLevel="0" collapsed="false">
      <c r="A494" s="59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</row>
    <row r="495" customFormat="false" ht="13.5" hidden="false" customHeight="true" outlineLevel="0" collapsed="false">
      <c r="A495" s="61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  <c r="AA495" s="45"/>
      <c r="AB495" s="45"/>
      <c r="AC495" s="45"/>
      <c r="AD495" s="45"/>
      <c r="AE495" s="45"/>
      <c r="AF495" s="45"/>
      <c r="AG495" s="45"/>
      <c r="AH495" s="45"/>
      <c r="AI495" s="45"/>
      <c r="AJ495" s="45"/>
      <c r="AK495" s="45"/>
      <c r="AL495" s="45"/>
    </row>
    <row r="496" customFormat="false" ht="13.5" hidden="false" customHeight="true" outlineLevel="0" collapsed="false">
      <c r="A496" s="59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</row>
    <row r="497" customFormat="false" ht="13.5" hidden="false" customHeight="true" outlineLevel="0" collapsed="false">
      <c r="A497" s="61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  <c r="AA497" s="45"/>
      <c r="AB497" s="45"/>
      <c r="AC497" s="45"/>
      <c r="AD497" s="45"/>
      <c r="AE497" s="45"/>
      <c r="AF497" s="45"/>
      <c r="AG497" s="45"/>
      <c r="AH497" s="45"/>
      <c r="AI497" s="45"/>
      <c r="AJ497" s="45"/>
      <c r="AK497" s="45"/>
      <c r="AL497" s="45"/>
    </row>
    <row r="498" customFormat="false" ht="13.5" hidden="false" customHeight="true" outlineLevel="0" collapsed="false">
      <c r="A498" s="59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</row>
    <row r="499" customFormat="false" ht="13.5" hidden="false" customHeight="true" outlineLevel="0" collapsed="false">
      <c r="A499" s="61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  <c r="AA499" s="45"/>
      <c r="AB499" s="45"/>
      <c r="AC499" s="45"/>
      <c r="AD499" s="45"/>
      <c r="AE499" s="45"/>
      <c r="AF499" s="45"/>
      <c r="AG499" s="45"/>
      <c r="AH499" s="45"/>
      <c r="AI499" s="45"/>
      <c r="AJ499" s="45"/>
      <c r="AK499" s="45"/>
      <c r="AL499" s="45"/>
    </row>
    <row r="500" customFormat="false" ht="13.5" hidden="false" customHeight="true" outlineLevel="0" collapsed="false">
      <c r="A500" s="59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</row>
    <row r="501" customFormat="false" ht="13.5" hidden="false" customHeight="true" outlineLevel="0" collapsed="false">
      <c r="A501" s="61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  <c r="AA501" s="45"/>
      <c r="AB501" s="45"/>
      <c r="AC501" s="45"/>
      <c r="AD501" s="45"/>
      <c r="AE501" s="45"/>
      <c r="AF501" s="45"/>
      <c r="AG501" s="45"/>
      <c r="AH501" s="45"/>
      <c r="AI501" s="45"/>
      <c r="AJ501" s="45"/>
      <c r="AK501" s="45"/>
      <c r="AL501" s="45"/>
    </row>
    <row r="502" customFormat="false" ht="13.5" hidden="false" customHeight="true" outlineLevel="0" collapsed="false">
      <c r="A502" s="59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</row>
    <row r="503" customFormat="false" ht="13.5" hidden="false" customHeight="true" outlineLevel="0" collapsed="false">
      <c r="A503" s="61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  <c r="AA503" s="45"/>
      <c r="AB503" s="45"/>
      <c r="AC503" s="45"/>
      <c r="AD503" s="45"/>
      <c r="AE503" s="45"/>
      <c r="AF503" s="45"/>
      <c r="AG503" s="45"/>
      <c r="AH503" s="45"/>
      <c r="AI503" s="45"/>
      <c r="AJ503" s="45"/>
      <c r="AK503" s="45"/>
      <c r="AL503" s="45"/>
    </row>
    <row r="504" customFormat="false" ht="13.5" hidden="false" customHeight="true" outlineLevel="0" collapsed="false">
      <c r="A504" s="59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</row>
    <row r="505" customFormat="false" ht="13.5" hidden="false" customHeight="true" outlineLevel="0" collapsed="false">
      <c r="A505" s="61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  <c r="AA505" s="45"/>
      <c r="AB505" s="45"/>
      <c r="AC505" s="45"/>
      <c r="AD505" s="45"/>
      <c r="AE505" s="45"/>
      <c r="AF505" s="45"/>
      <c r="AG505" s="45"/>
      <c r="AH505" s="45"/>
      <c r="AI505" s="45"/>
      <c r="AJ505" s="45"/>
      <c r="AK505" s="45"/>
      <c r="AL505" s="45"/>
    </row>
    <row r="506" customFormat="false" ht="13.5" hidden="false" customHeight="true" outlineLevel="0" collapsed="false">
      <c r="A506" s="59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</row>
    <row r="507" customFormat="false" ht="13.5" hidden="false" customHeight="true" outlineLevel="0" collapsed="false">
      <c r="A507" s="61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</row>
    <row r="508" customFormat="false" ht="15" hidden="false" customHeight="false" outlineLevel="0" collapsed="false"/>
    <row r="509" customFormat="false" ht="15" hidden="false" customHeight="false" outlineLevel="0" collapsed="false"/>
    <row r="510" customFormat="false" ht="4.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 customFormat="false" ht="19.5" hidden="false" customHeight="true" outlineLevel="0" collapsed="false">
      <c r="A511" s="24" t="s">
        <v>27</v>
      </c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</row>
  </sheetData>
  <mergeCells count="18">
    <mergeCell ref="A1:AL1"/>
    <mergeCell ref="A2:AL2"/>
    <mergeCell ref="A3:AL3"/>
    <mergeCell ref="A4:AL4"/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A510:AL510"/>
    <mergeCell ref="A511:AL5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B6D11"/>
    <pageSetUpPr fitToPage="false"/>
  </sheetPr>
  <dimension ref="A1:AN2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54296875" defaultRowHeight="12.8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39" min="4" style="0" width="7"/>
    <col collapsed="false" customWidth="true" hidden="false" outlineLevel="0" max="40" min="40" style="0" width="20"/>
  </cols>
  <sheetData>
    <row r="1" customFormat="false" ht="36" hidden="false" customHeight="true" outlineLevel="0" collapsed="false">
      <c r="A1" s="1" t="s">
        <v>121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customFormat="false" ht="21.75" hidden="false" customHeight="true" outlineLevel="0" collapsed="false">
      <c r="A4" s="58" t="s">
        <v>122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</row>
    <row r="5" customFormat="false" ht="3.75" hidden="false" customHeight="true" outlineLevel="0" collapsed="false"/>
    <row r="6" customFormat="false" ht="25.5" hidden="false" customHeight="true" outlineLevel="0" collapsed="false">
      <c r="A6" s="65" t="s">
        <v>6</v>
      </c>
      <c r="B6" s="65" t="s">
        <v>123</v>
      </c>
      <c r="C6" s="65" t="s">
        <v>104</v>
      </c>
      <c r="D6" s="64" t="s">
        <v>52</v>
      </c>
      <c r="E6" s="64"/>
      <c r="F6" s="64"/>
      <c r="G6" s="64" t="s">
        <v>53</v>
      </c>
      <c r="H6" s="64"/>
      <c r="I6" s="64"/>
      <c r="J6" s="64" t="s">
        <v>54</v>
      </c>
      <c r="K6" s="64"/>
      <c r="L6" s="64"/>
      <c r="M6" s="64" t="s">
        <v>55</v>
      </c>
      <c r="N6" s="64"/>
      <c r="O6" s="64"/>
      <c r="P6" s="64" t="s">
        <v>56</v>
      </c>
      <c r="Q6" s="64"/>
      <c r="R6" s="64"/>
      <c r="S6" s="64" t="s">
        <v>57</v>
      </c>
      <c r="T6" s="64"/>
      <c r="U6" s="64"/>
      <c r="V6" s="64" t="s">
        <v>58</v>
      </c>
      <c r="W6" s="64"/>
      <c r="X6" s="64"/>
      <c r="Y6" s="64" t="s">
        <v>58</v>
      </c>
      <c r="Z6" s="64"/>
      <c r="AA6" s="64"/>
      <c r="AB6" s="64" t="s">
        <v>58</v>
      </c>
      <c r="AC6" s="64"/>
      <c r="AD6" s="64"/>
      <c r="AE6" s="64" t="s">
        <v>59</v>
      </c>
      <c r="AF6" s="64"/>
      <c r="AG6" s="64"/>
      <c r="AH6" s="64" t="s">
        <v>60</v>
      </c>
      <c r="AI6" s="64"/>
      <c r="AJ6" s="64"/>
      <c r="AK6" s="64" t="s">
        <v>25</v>
      </c>
      <c r="AL6" s="64"/>
      <c r="AM6" s="64"/>
      <c r="AN6" s="65" t="s">
        <v>115</v>
      </c>
    </row>
    <row r="7" customFormat="false" ht="18" hidden="false" customHeight="true" outlineLevel="0" collapsed="false">
      <c r="A7" s="66"/>
      <c r="B7" s="66"/>
      <c r="C7" s="66"/>
      <c r="D7" s="70" t="s">
        <v>124</v>
      </c>
      <c r="E7" s="70" t="s">
        <v>125</v>
      </c>
      <c r="F7" s="71" t="s">
        <v>126</v>
      </c>
      <c r="G7" s="70" t="s">
        <v>124</v>
      </c>
      <c r="H7" s="70" t="s">
        <v>125</v>
      </c>
      <c r="I7" s="71" t="s">
        <v>126</v>
      </c>
      <c r="J7" s="70" t="s">
        <v>124</v>
      </c>
      <c r="K7" s="70" t="s">
        <v>125</v>
      </c>
      <c r="L7" s="71" t="s">
        <v>126</v>
      </c>
      <c r="M7" s="70" t="s">
        <v>124</v>
      </c>
      <c r="N7" s="70" t="s">
        <v>125</v>
      </c>
      <c r="O7" s="71" t="s">
        <v>126</v>
      </c>
      <c r="P7" s="70" t="s">
        <v>124</v>
      </c>
      <c r="Q7" s="70" t="s">
        <v>125</v>
      </c>
      <c r="R7" s="71" t="s">
        <v>126</v>
      </c>
      <c r="S7" s="70" t="s">
        <v>124</v>
      </c>
      <c r="T7" s="70" t="s">
        <v>125</v>
      </c>
      <c r="U7" s="71" t="s">
        <v>126</v>
      </c>
      <c r="V7" s="70" t="s">
        <v>124</v>
      </c>
      <c r="W7" s="70" t="s">
        <v>125</v>
      </c>
      <c r="X7" s="71" t="s">
        <v>126</v>
      </c>
      <c r="Y7" s="70" t="s">
        <v>124</v>
      </c>
      <c r="Z7" s="70" t="s">
        <v>125</v>
      </c>
      <c r="AA7" s="71" t="s">
        <v>126</v>
      </c>
      <c r="AB7" s="70" t="s">
        <v>124</v>
      </c>
      <c r="AC7" s="70" t="s">
        <v>125</v>
      </c>
      <c r="AD7" s="71" t="s">
        <v>126</v>
      </c>
      <c r="AE7" s="70" t="s">
        <v>124</v>
      </c>
      <c r="AF7" s="70" t="s">
        <v>125</v>
      </c>
      <c r="AG7" s="71" t="s">
        <v>126</v>
      </c>
      <c r="AH7" s="70" t="s">
        <v>124</v>
      </c>
      <c r="AI7" s="70" t="s">
        <v>125</v>
      </c>
      <c r="AJ7" s="71" t="s">
        <v>126</v>
      </c>
      <c r="AK7" s="70" t="s">
        <v>124</v>
      </c>
      <c r="AL7" s="70" t="s">
        <v>125</v>
      </c>
      <c r="AM7" s="71" t="s">
        <v>126</v>
      </c>
      <c r="AN7" s="66"/>
    </row>
    <row r="8" customFormat="false" ht="15.75" hidden="false" customHeight="true" outlineLevel="0" collapsed="false">
      <c r="A8" s="60" t="n">
        <v>1</v>
      </c>
      <c r="B8" s="72"/>
      <c r="C8" s="73"/>
      <c r="D8" s="72"/>
      <c r="E8" s="72"/>
      <c r="F8" s="74" t="str">
        <f aca="false">IFERROR(IF(D8="","",D8*E8),"")</f>
        <v/>
      </c>
      <c r="G8" s="72"/>
      <c r="H8" s="72"/>
      <c r="I8" s="74" t="str">
        <f aca="false">IFERROR(IF(G8="","",G8*H8),"")</f>
        <v/>
      </c>
      <c r="J8" s="72"/>
      <c r="K8" s="72"/>
      <c r="L8" s="74" t="str">
        <f aca="false">IFERROR(IF(J8="","",J8*K8),"")</f>
        <v/>
      </c>
      <c r="M8" s="72"/>
      <c r="N8" s="72"/>
      <c r="O8" s="74" t="str">
        <f aca="false">IFERROR(IF(M8="","",M8*N8),"")</f>
        <v/>
      </c>
      <c r="P8" s="72"/>
      <c r="Q8" s="72"/>
      <c r="R8" s="74" t="str">
        <f aca="false">IFERROR(IF(P8="","",P8*Q8),"")</f>
        <v/>
      </c>
      <c r="S8" s="72"/>
      <c r="T8" s="72"/>
      <c r="U8" s="74" t="str">
        <f aca="false">IFERROR(IF(S8="","",S8*T8),"")</f>
        <v/>
      </c>
      <c r="V8" s="72"/>
      <c r="W8" s="72"/>
      <c r="X8" s="74" t="str">
        <f aca="false">IFERROR(IF(V8="","",V8*W8),"")</f>
        <v/>
      </c>
      <c r="Y8" s="72"/>
      <c r="Z8" s="72"/>
      <c r="AA8" s="74" t="str">
        <f aca="false">IFERROR(IF(Y8="","",Y8*Z8),"")</f>
        <v/>
      </c>
      <c r="AB8" s="72"/>
      <c r="AC8" s="72"/>
      <c r="AD8" s="74" t="str">
        <f aca="false">IFERROR(IF(AB8="","",AB8*AC8),"")</f>
        <v/>
      </c>
      <c r="AE8" s="72"/>
      <c r="AF8" s="72"/>
      <c r="AG8" s="74" t="str">
        <f aca="false">IFERROR(IF(AE8="","",AE8*AF8),"")</f>
        <v/>
      </c>
      <c r="AH8" s="72"/>
      <c r="AI8" s="72"/>
      <c r="AJ8" s="74" t="str">
        <f aca="false">IFERROR(IF(AH8="","",AH8*AI8),"")</f>
        <v/>
      </c>
      <c r="AK8" s="72"/>
      <c r="AL8" s="72"/>
      <c r="AM8" s="74" t="str">
        <f aca="false">IFERROR(IF(AK8="","",AK8*AL8),"")</f>
        <v/>
      </c>
      <c r="AN8" s="72"/>
    </row>
    <row r="9" customFormat="false" ht="15.75" hidden="false" customHeight="true" outlineLevel="0" collapsed="false">
      <c r="A9" s="62" t="n">
        <v>2</v>
      </c>
      <c r="B9" s="75"/>
      <c r="C9" s="76"/>
      <c r="D9" s="75"/>
      <c r="E9" s="75"/>
      <c r="F9" s="77" t="str">
        <f aca="false">IFERROR(IF(D9="","",D9*E9),"")</f>
        <v/>
      </c>
      <c r="G9" s="75"/>
      <c r="H9" s="75"/>
      <c r="I9" s="77" t="str">
        <f aca="false">IFERROR(IF(G9="","",G9*H9),"")</f>
        <v/>
      </c>
      <c r="J9" s="75"/>
      <c r="K9" s="75"/>
      <c r="L9" s="77" t="str">
        <f aca="false">IFERROR(IF(J9="","",J9*K9),"")</f>
        <v/>
      </c>
      <c r="M9" s="75"/>
      <c r="N9" s="75"/>
      <c r="O9" s="77" t="str">
        <f aca="false">IFERROR(IF(M9="","",M9*N9),"")</f>
        <v/>
      </c>
      <c r="P9" s="75"/>
      <c r="Q9" s="75"/>
      <c r="R9" s="77" t="str">
        <f aca="false">IFERROR(IF(P9="","",P9*Q9),"")</f>
        <v/>
      </c>
      <c r="S9" s="75"/>
      <c r="T9" s="75"/>
      <c r="U9" s="77" t="str">
        <f aca="false">IFERROR(IF(S9="","",S9*T9),"")</f>
        <v/>
      </c>
      <c r="V9" s="75"/>
      <c r="W9" s="75"/>
      <c r="X9" s="77" t="str">
        <f aca="false">IFERROR(IF(V9="","",V9*W9),"")</f>
        <v/>
      </c>
      <c r="Y9" s="75"/>
      <c r="Z9" s="75"/>
      <c r="AA9" s="77" t="str">
        <f aca="false">IFERROR(IF(Y9="","",Y9*Z9),"")</f>
        <v/>
      </c>
      <c r="AB9" s="75"/>
      <c r="AC9" s="75"/>
      <c r="AD9" s="77" t="str">
        <f aca="false">IFERROR(IF(AB9="","",AB9*AC9),"")</f>
        <v/>
      </c>
      <c r="AE9" s="75"/>
      <c r="AF9" s="75"/>
      <c r="AG9" s="77" t="str">
        <f aca="false">IFERROR(IF(AE9="","",AE9*AF9),"")</f>
        <v/>
      </c>
      <c r="AH9" s="75"/>
      <c r="AI9" s="75"/>
      <c r="AJ9" s="77" t="str">
        <f aca="false">IFERROR(IF(AH9="","",AH9*AI9),"")</f>
        <v/>
      </c>
      <c r="AK9" s="75"/>
      <c r="AL9" s="75"/>
      <c r="AM9" s="77" t="str">
        <f aca="false">IFERROR(IF(AK9="","",AK9*AL9),"")</f>
        <v/>
      </c>
      <c r="AN9" s="75"/>
    </row>
    <row r="10" customFormat="false" ht="15.75" hidden="false" customHeight="true" outlineLevel="0" collapsed="false">
      <c r="A10" s="60" t="n">
        <v>3</v>
      </c>
      <c r="B10" s="72"/>
      <c r="C10" s="73"/>
      <c r="D10" s="72"/>
      <c r="E10" s="72"/>
      <c r="F10" s="74" t="str">
        <f aca="false">IFERROR(IF(D10="","",D10*E10),"")</f>
        <v/>
      </c>
      <c r="G10" s="72"/>
      <c r="H10" s="72"/>
      <c r="I10" s="74" t="str">
        <f aca="false">IFERROR(IF(G10="","",G10*H10),"")</f>
        <v/>
      </c>
      <c r="J10" s="72"/>
      <c r="K10" s="72"/>
      <c r="L10" s="74" t="str">
        <f aca="false">IFERROR(IF(J10="","",J10*K10),"")</f>
        <v/>
      </c>
      <c r="M10" s="72"/>
      <c r="N10" s="72"/>
      <c r="O10" s="74" t="str">
        <f aca="false">IFERROR(IF(M10="","",M10*N10),"")</f>
        <v/>
      </c>
      <c r="P10" s="72"/>
      <c r="Q10" s="72"/>
      <c r="R10" s="74" t="str">
        <f aca="false">IFERROR(IF(P10="","",P10*Q10),"")</f>
        <v/>
      </c>
      <c r="S10" s="72"/>
      <c r="T10" s="72"/>
      <c r="U10" s="74" t="str">
        <f aca="false">IFERROR(IF(S10="","",S10*T10),"")</f>
        <v/>
      </c>
      <c r="V10" s="72"/>
      <c r="W10" s="72"/>
      <c r="X10" s="74" t="str">
        <f aca="false">IFERROR(IF(V10="","",V10*W10),"")</f>
        <v/>
      </c>
      <c r="Y10" s="72"/>
      <c r="Z10" s="72"/>
      <c r="AA10" s="74" t="str">
        <f aca="false">IFERROR(IF(Y10="","",Y10*Z10),"")</f>
        <v/>
      </c>
      <c r="AB10" s="72"/>
      <c r="AC10" s="72"/>
      <c r="AD10" s="74" t="str">
        <f aca="false">IFERROR(IF(AB10="","",AB10*AC10),"")</f>
        <v/>
      </c>
      <c r="AE10" s="72"/>
      <c r="AF10" s="72"/>
      <c r="AG10" s="74" t="str">
        <f aca="false">IFERROR(IF(AE10="","",AE10*AF10),"")</f>
        <v/>
      </c>
      <c r="AH10" s="72"/>
      <c r="AI10" s="72"/>
      <c r="AJ10" s="74" t="str">
        <f aca="false">IFERROR(IF(AH10="","",AH10*AI10),"")</f>
        <v/>
      </c>
      <c r="AK10" s="72"/>
      <c r="AL10" s="72"/>
      <c r="AM10" s="74" t="str">
        <f aca="false">IFERROR(IF(AK10="","",AK10*AL10),"")</f>
        <v/>
      </c>
      <c r="AN10" s="72"/>
    </row>
    <row r="11" customFormat="false" ht="15.75" hidden="false" customHeight="true" outlineLevel="0" collapsed="false">
      <c r="A11" s="62" t="n">
        <v>4</v>
      </c>
      <c r="B11" s="75"/>
      <c r="C11" s="76"/>
      <c r="D11" s="75"/>
      <c r="E11" s="75"/>
      <c r="F11" s="77" t="str">
        <f aca="false">IFERROR(IF(D11="","",D11*E11),"")</f>
        <v/>
      </c>
      <c r="G11" s="75"/>
      <c r="H11" s="75"/>
      <c r="I11" s="77" t="str">
        <f aca="false">IFERROR(IF(G11="","",G11*H11),"")</f>
        <v/>
      </c>
      <c r="J11" s="75"/>
      <c r="K11" s="75"/>
      <c r="L11" s="77" t="str">
        <f aca="false">IFERROR(IF(J11="","",J11*K11),"")</f>
        <v/>
      </c>
      <c r="M11" s="75"/>
      <c r="N11" s="75"/>
      <c r="O11" s="77" t="str">
        <f aca="false">IFERROR(IF(M11="","",M11*N11),"")</f>
        <v/>
      </c>
      <c r="P11" s="75"/>
      <c r="Q11" s="75"/>
      <c r="R11" s="77" t="str">
        <f aca="false">IFERROR(IF(P11="","",P11*Q11),"")</f>
        <v/>
      </c>
      <c r="S11" s="75"/>
      <c r="T11" s="75"/>
      <c r="U11" s="77" t="str">
        <f aca="false">IFERROR(IF(S11="","",S11*T11),"")</f>
        <v/>
      </c>
      <c r="V11" s="75"/>
      <c r="W11" s="75"/>
      <c r="X11" s="77" t="str">
        <f aca="false">IFERROR(IF(V11="","",V11*W11),"")</f>
        <v/>
      </c>
      <c r="Y11" s="75"/>
      <c r="Z11" s="75"/>
      <c r="AA11" s="77" t="str">
        <f aca="false">IFERROR(IF(Y11="","",Y11*Z11),"")</f>
        <v/>
      </c>
      <c r="AB11" s="75"/>
      <c r="AC11" s="75"/>
      <c r="AD11" s="77" t="str">
        <f aca="false">IFERROR(IF(AB11="","",AB11*AC11),"")</f>
        <v/>
      </c>
      <c r="AE11" s="75"/>
      <c r="AF11" s="75"/>
      <c r="AG11" s="77" t="str">
        <f aca="false">IFERROR(IF(AE11="","",AE11*AF11),"")</f>
        <v/>
      </c>
      <c r="AH11" s="75"/>
      <c r="AI11" s="75"/>
      <c r="AJ11" s="77" t="str">
        <f aca="false">IFERROR(IF(AH11="","",AH11*AI11),"")</f>
        <v/>
      </c>
      <c r="AK11" s="75"/>
      <c r="AL11" s="75"/>
      <c r="AM11" s="77" t="str">
        <f aca="false">IFERROR(IF(AK11="","",AK11*AL11),"")</f>
        <v/>
      </c>
      <c r="AN11" s="75"/>
    </row>
    <row r="12" customFormat="false" ht="15.75" hidden="false" customHeight="true" outlineLevel="0" collapsed="false">
      <c r="A12" s="60" t="n">
        <v>5</v>
      </c>
      <c r="B12" s="72"/>
      <c r="C12" s="73"/>
      <c r="D12" s="72"/>
      <c r="E12" s="72"/>
      <c r="F12" s="74" t="str">
        <f aca="false">IFERROR(IF(D12="","",D12*E12),"")</f>
        <v/>
      </c>
      <c r="G12" s="72"/>
      <c r="H12" s="72"/>
      <c r="I12" s="74" t="str">
        <f aca="false">IFERROR(IF(G12="","",G12*H12),"")</f>
        <v/>
      </c>
      <c r="J12" s="72"/>
      <c r="K12" s="72"/>
      <c r="L12" s="74" t="str">
        <f aca="false">IFERROR(IF(J12="","",J12*K12),"")</f>
        <v/>
      </c>
      <c r="M12" s="72"/>
      <c r="N12" s="72"/>
      <c r="O12" s="74" t="str">
        <f aca="false">IFERROR(IF(M12="","",M12*N12),"")</f>
        <v/>
      </c>
      <c r="P12" s="72"/>
      <c r="Q12" s="72"/>
      <c r="R12" s="74" t="str">
        <f aca="false">IFERROR(IF(P12="","",P12*Q12),"")</f>
        <v/>
      </c>
      <c r="S12" s="72"/>
      <c r="T12" s="72"/>
      <c r="U12" s="74" t="str">
        <f aca="false">IFERROR(IF(S12="","",S12*T12),"")</f>
        <v/>
      </c>
      <c r="V12" s="72"/>
      <c r="W12" s="72"/>
      <c r="X12" s="74" t="str">
        <f aca="false">IFERROR(IF(V12="","",V12*W12),"")</f>
        <v/>
      </c>
      <c r="Y12" s="72"/>
      <c r="Z12" s="72"/>
      <c r="AA12" s="74" t="str">
        <f aca="false">IFERROR(IF(Y12="","",Y12*Z12),"")</f>
        <v/>
      </c>
      <c r="AB12" s="72"/>
      <c r="AC12" s="72"/>
      <c r="AD12" s="74" t="str">
        <f aca="false">IFERROR(IF(AB12="","",AB12*AC12),"")</f>
        <v/>
      </c>
      <c r="AE12" s="72"/>
      <c r="AF12" s="72"/>
      <c r="AG12" s="74" t="str">
        <f aca="false">IFERROR(IF(AE12="","",AE12*AF12),"")</f>
        <v/>
      </c>
      <c r="AH12" s="72"/>
      <c r="AI12" s="72"/>
      <c r="AJ12" s="74" t="str">
        <f aca="false">IFERROR(IF(AH12="","",AH12*AI12),"")</f>
        <v/>
      </c>
      <c r="AK12" s="72"/>
      <c r="AL12" s="72"/>
      <c r="AM12" s="74" t="str">
        <f aca="false">IFERROR(IF(AK12="","",AK12*AL12),"")</f>
        <v/>
      </c>
      <c r="AN12" s="72"/>
    </row>
    <row r="13" customFormat="false" ht="15.75" hidden="false" customHeight="true" outlineLevel="0" collapsed="false">
      <c r="A13" s="62" t="n">
        <v>6</v>
      </c>
      <c r="B13" s="75"/>
      <c r="C13" s="76"/>
      <c r="D13" s="75"/>
      <c r="E13" s="75"/>
      <c r="F13" s="77" t="str">
        <f aca="false">IFERROR(IF(D13="","",D13*E13),"")</f>
        <v/>
      </c>
      <c r="G13" s="75"/>
      <c r="H13" s="75"/>
      <c r="I13" s="77" t="str">
        <f aca="false">IFERROR(IF(G13="","",G13*H13),"")</f>
        <v/>
      </c>
      <c r="J13" s="75"/>
      <c r="K13" s="75"/>
      <c r="L13" s="77" t="str">
        <f aca="false">IFERROR(IF(J13="","",J13*K13),"")</f>
        <v/>
      </c>
      <c r="M13" s="75"/>
      <c r="N13" s="75"/>
      <c r="O13" s="77" t="str">
        <f aca="false">IFERROR(IF(M13="","",M13*N13),"")</f>
        <v/>
      </c>
      <c r="P13" s="75"/>
      <c r="Q13" s="75"/>
      <c r="R13" s="77" t="str">
        <f aca="false">IFERROR(IF(P13="","",P13*Q13),"")</f>
        <v/>
      </c>
      <c r="S13" s="75"/>
      <c r="T13" s="75"/>
      <c r="U13" s="77" t="str">
        <f aca="false">IFERROR(IF(S13="","",S13*T13),"")</f>
        <v/>
      </c>
      <c r="V13" s="75"/>
      <c r="W13" s="75"/>
      <c r="X13" s="77" t="str">
        <f aca="false">IFERROR(IF(V13="","",V13*W13),"")</f>
        <v/>
      </c>
      <c r="Y13" s="75"/>
      <c r="Z13" s="75"/>
      <c r="AA13" s="77" t="str">
        <f aca="false">IFERROR(IF(Y13="","",Y13*Z13),"")</f>
        <v/>
      </c>
      <c r="AB13" s="75"/>
      <c r="AC13" s="75"/>
      <c r="AD13" s="77" t="str">
        <f aca="false">IFERROR(IF(AB13="","",AB13*AC13),"")</f>
        <v/>
      </c>
      <c r="AE13" s="75"/>
      <c r="AF13" s="75"/>
      <c r="AG13" s="77" t="str">
        <f aca="false">IFERROR(IF(AE13="","",AE13*AF13),"")</f>
        <v/>
      </c>
      <c r="AH13" s="75"/>
      <c r="AI13" s="75"/>
      <c r="AJ13" s="77" t="str">
        <f aca="false">IFERROR(IF(AH13="","",AH13*AI13),"")</f>
        <v/>
      </c>
      <c r="AK13" s="75"/>
      <c r="AL13" s="75"/>
      <c r="AM13" s="77" t="str">
        <f aca="false">IFERROR(IF(AK13="","",AK13*AL13),"")</f>
        <v/>
      </c>
      <c r="AN13" s="75"/>
    </row>
    <row r="14" customFormat="false" ht="15.75" hidden="false" customHeight="true" outlineLevel="0" collapsed="false">
      <c r="A14" s="60" t="n">
        <v>7</v>
      </c>
      <c r="B14" s="72"/>
      <c r="C14" s="73"/>
      <c r="D14" s="72"/>
      <c r="E14" s="72"/>
      <c r="F14" s="74" t="str">
        <f aca="false">IFERROR(IF(D14="","",D14*E14),"")</f>
        <v/>
      </c>
      <c r="G14" s="72"/>
      <c r="H14" s="72"/>
      <c r="I14" s="74" t="str">
        <f aca="false">IFERROR(IF(G14="","",G14*H14),"")</f>
        <v/>
      </c>
      <c r="J14" s="72"/>
      <c r="K14" s="72"/>
      <c r="L14" s="74" t="str">
        <f aca="false">IFERROR(IF(J14="","",J14*K14),"")</f>
        <v/>
      </c>
      <c r="M14" s="72"/>
      <c r="N14" s="72"/>
      <c r="O14" s="74" t="str">
        <f aca="false">IFERROR(IF(M14="","",M14*N14),"")</f>
        <v/>
      </c>
      <c r="P14" s="72"/>
      <c r="Q14" s="72"/>
      <c r="R14" s="74" t="str">
        <f aca="false">IFERROR(IF(P14="","",P14*Q14),"")</f>
        <v/>
      </c>
      <c r="S14" s="72"/>
      <c r="T14" s="72"/>
      <c r="U14" s="74" t="str">
        <f aca="false">IFERROR(IF(S14="","",S14*T14),"")</f>
        <v/>
      </c>
      <c r="V14" s="72"/>
      <c r="W14" s="72"/>
      <c r="X14" s="74" t="str">
        <f aca="false">IFERROR(IF(V14="","",V14*W14),"")</f>
        <v/>
      </c>
      <c r="Y14" s="72"/>
      <c r="Z14" s="72"/>
      <c r="AA14" s="74" t="str">
        <f aca="false">IFERROR(IF(Y14="","",Y14*Z14),"")</f>
        <v/>
      </c>
      <c r="AB14" s="72"/>
      <c r="AC14" s="72"/>
      <c r="AD14" s="74" t="str">
        <f aca="false">IFERROR(IF(AB14="","",AB14*AC14),"")</f>
        <v/>
      </c>
      <c r="AE14" s="72"/>
      <c r="AF14" s="72"/>
      <c r="AG14" s="74" t="str">
        <f aca="false">IFERROR(IF(AE14="","",AE14*AF14),"")</f>
        <v/>
      </c>
      <c r="AH14" s="72"/>
      <c r="AI14" s="72"/>
      <c r="AJ14" s="74" t="str">
        <f aca="false">IFERROR(IF(AH14="","",AH14*AI14),"")</f>
        <v/>
      </c>
      <c r="AK14" s="72"/>
      <c r="AL14" s="72"/>
      <c r="AM14" s="74" t="str">
        <f aca="false">IFERROR(IF(AK14="","",AK14*AL14),"")</f>
        <v/>
      </c>
      <c r="AN14" s="72"/>
    </row>
    <row r="15" customFormat="false" ht="15.75" hidden="false" customHeight="true" outlineLevel="0" collapsed="false">
      <c r="A15" s="62" t="n">
        <v>8</v>
      </c>
      <c r="B15" s="75"/>
      <c r="C15" s="76"/>
      <c r="D15" s="75"/>
      <c r="E15" s="75"/>
      <c r="F15" s="77" t="str">
        <f aca="false">IFERROR(IF(D15="","",D15*E15),"")</f>
        <v/>
      </c>
      <c r="G15" s="75"/>
      <c r="H15" s="75"/>
      <c r="I15" s="77" t="str">
        <f aca="false">IFERROR(IF(G15="","",G15*H15),"")</f>
        <v/>
      </c>
      <c r="J15" s="75"/>
      <c r="K15" s="75"/>
      <c r="L15" s="77" t="str">
        <f aca="false">IFERROR(IF(J15="","",J15*K15),"")</f>
        <v/>
      </c>
      <c r="M15" s="75"/>
      <c r="N15" s="75"/>
      <c r="O15" s="77" t="str">
        <f aca="false">IFERROR(IF(M15="","",M15*N15),"")</f>
        <v/>
      </c>
      <c r="P15" s="75"/>
      <c r="Q15" s="75"/>
      <c r="R15" s="77" t="str">
        <f aca="false">IFERROR(IF(P15="","",P15*Q15),"")</f>
        <v/>
      </c>
      <c r="S15" s="75"/>
      <c r="T15" s="75"/>
      <c r="U15" s="77" t="str">
        <f aca="false">IFERROR(IF(S15="","",S15*T15),"")</f>
        <v/>
      </c>
      <c r="V15" s="75"/>
      <c r="W15" s="75"/>
      <c r="X15" s="77" t="str">
        <f aca="false">IFERROR(IF(V15="","",V15*W15),"")</f>
        <v/>
      </c>
      <c r="Y15" s="75"/>
      <c r="Z15" s="75"/>
      <c r="AA15" s="77" t="str">
        <f aca="false">IFERROR(IF(Y15="","",Y15*Z15),"")</f>
        <v/>
      </c>
      <c r="AB15" s="75"/>
      <c r="AC15" s="75"/>
      <c r="AD15" s="77" t="str">
        <f aca="false">IFERROR(IF(AB15="","",AB15*AC15),"")</f>
        <v/>
      </c>
      <c r="AE15" s="75"/>
      <c r="AF15" s="75"/>
      <c r="AG15" s="77" t="str">
        <f aca="false">IFERROR(IF(AE15="","",AE15*AF15),"")</f>
        <v/>
      </c>
      <c r="AH15" s="75"/>
      <c r="AI15" s="75"/>
      <c r="AJ15" s="77" t="str">
        <f aca="false">IFERROR(IF(AH15="","",AH15*AI15),"")</f>
        <v/>
      </c>
      <c r="AK15" s="75"/>
      <c r="AL15" s="75"/>
      <c r="AM15" s="77" t="str">
        <f aca="false">IFERROR(IF(AK15="","",AK15*AL15),"")</f>
        <v/>
      </c>
      <c r="AN15" s="75"/>
    </row>
    <row r="16" customFormat="false" ht="15.75" hidden="false" customHeight="true" outlineLevel="0" collapsed="false">
      <c r="A16" s="60" t="n">
        <v>9</v>
      </c>
      <c r="B16" s="72"/>
      <c r="C16" s="73"/>
      <c r="D16" s="72"/>
      <c r="E16" s="72"/>
      <c r="F16" s="74" t="str">
        <f aca="false">IFERROR(IF(D16="","",D16*E16),"")</f>
        <v/>
      </c>
      <c r="G16" s="72"/>
      <c r="H16" s="72"/>
      <c r="I16" s="74" t="str">
        <f aca="false">IFERROR(IF(G16="","",G16*H16),"")</f>
        <v/>
      </c>
      <c r="J16" s="72"/>
      <c r="K16" s="72"/>
      <c r="L16" s="74" t="str">
        <f aca="false">IFERROR(IF(J16="","",J16*K16),"")</f>
        <v/>
      </c>
      <c r="M16" s="72"/>
      <c r="N16" s="72"/>
      <c r="O16" s="74" t="str">
        <f aca="false">IFERROR(IF(M16="","",M16*N16),"")</f>
        <v/>
      </c>
      <c r="P16" s="72"/>
      <c r="Q16" s="72"/>
      <c r="R16" s="74" t="str">
        <f aca="false">IFERROR(IF(P16="","",P16*Q16),"")</f>
        <v/>
      </c>
      <c r="S16" s="72"/>
      <c r="T16" s="72"/>
      <c r="U16" s="74" t="str">
        <f aca="false">IFERROR(IF(S16="","",S16*T16),"")</f>
        <v/>
      </c>
      <c r="V16" s="72"/>
      <c r="W16" s="72"/>
      <c r="X16" s="74" t="str">
        <f aca="false">IFERROR(IF(V16="","",V16*W16),"")</f>
        <v/>
      </c>
      <c r="Y16" s="72"/>
      <c r="Z16" s="72"/>
      <c r="AA16" s="74" t="str">
        <f aca="false">IFERROR(IF(Y16="","",Y16*Z16),"")</f>
        <v/>
      </c>
      <c r="AB16" s="72"/>
      <c r="AC16" s="72"/>
      <c r="AD16" s="74" t="str">
        <f aca="false">IFERROR(IF(AB16="","",AB16*AC16),"")</f>
        <v/>
      </c>
      <c r="AE16" s="72"/>
      <c r="AF16" s="72"/>
      <c r="AG16" s="74" t="str">
        <f aca="false">IFERROR(IF(AE16="","",AE16*AF16),"")</f>
        <v/>
      </c>
      <c r="AH16" s="72"/>
      <c r="AI16" s="72"/>
      <c r="AJ16" s="74" t="str">
        <f aca="false">IFERROR(IF(AH16="","",AH16*AI16),"")</f>
        <v/>
      </c>
      <c r="AK16" s="72"/>
      <c r="AL16" s="72"/>
      <c r="AM16" s="74" t="str">
        <f aca="false">IFERROR(IF(AK16="","",AK16*AL16),"")</f>
        <v/>
      </c>
      <c r="AN16" s="72"/>
    </row>
    <row r="17" customFormat="false" ht="15.75" hidden="false" customHeight="true" outlineLevel="0" collapsed="false">
      <c r="A17" s="62" t="n">
        <v>10</v>
      </c>
      <c r="B17" s="75"/>
      <c r="C17" s="76"/>
      <c r="D17" s="75"/>
      <c r="E17" s="75"/>
      <c r="F17" s="77" t="str">
        <f aca="false">IFERROR(IF(D17="","",D17*E17),"")</f>
        <v/>
      </c>
      <c r="G17" s="75"/>
      <c r="H17" s="75"/>
      <c r="I17" s="77" t="str">
        <f aca="false">IFERROR(IF(G17="","",G17*H17),"")</f>
        <v/>
      </c>
      <c r="J17" s="75"/>
      <c r="K17" s="75"/>
      <c r="L17" s="77" t="str">
        <f aca="false">IFERROR(IF(J17="","",J17*K17),"")</f>
        <v/>
      </c>
      <c r="M17" s="75"/>
      <c r="N17" s="75"/>
      <c r="O17" s="77" t="str">
        <f aca="false">IFERROR(IF(M17="","",M17*N17),"")</f>
        <v/>
      </c>
      <c r="P17" s="75"/>
      <c r="Q17" s="75"/>
      <c r="R17" s="77" t="str">
        <f aca="false">IFERROR(IF(P17="","",P17*Q17),"")</f>
        <v/>
      </c>
      <c r="S17" s="75"/>
      <c r="T17" s="75"/>
      <c r="U17" s="77" t="str">
        <f aca="false">IFERROR(IF(S17="","",S17*T17),"")</f>
        <v/>
      </c>
      <c r="V17" s="75"/>
      <c r="W17" s="75"/>
      <c r="X17" s="77" t="str">
        <f aca="false">IFERROR(IF(V17="","",V17*W17),"")</f>
        <v/>
      </c>
      <c r="Y17" s="75"/>
      <c r="Z17" s="75"/>
      <c r="AA17" s="77" t="str">
        <f aca="false">IFERROR(IF(Y17="","",Y17*Z17),"")</f>
        <v/>
      </c>
      <c r="AB17" s="75"/>
      <c r="AC17" s="75"/>
      <c r="AD17" s="77" t="str">
        <f aca="false">IFERROR(IF(AB17="","",AB17*AC17),"")</f>
        <v/>
      </c>
      <c r="AE17" s="75"/>
      <c r="AF17" s="75"/>
      <c r="AG17" s="77" t="str">
        <f aca="false">IFERROR(IF(AE17="","",AE17*AF17),"")</f>
        <v/>
      </c>
      <c r="AH17" s="75"/>
      <c r="AI17" s="75"/>
      <c r="AJ17" s="77" t="str">
        <f aca="false">IFERROR(IF(AH17="","",AH17*AI17),"")</f>
        <v/>
      </c>
      <c r="AK17" s="75"/>
      <c r="AL17" s="75"/>
      <c r="AM17" s="77" t="str">
        <f aca="false">IFERROR(IF(AK17="","",AK17*AL17),"")</f>
        <v/>
      </c>
      <c r="AN17" s="75"/>
    </row>
    <row r="18" customFormat="false" ht="15.75" hidden="false" customHeight="true" outlineLevel="0" collapsed="false">
      <c r="A18" s="60" t="n">
        <v>11</v>
      </c>
      <c r="B18" s="72"/>
      <c r="C18" s="73"/>
      <c r="D18" s="72"/>
      <c r="E18" s="72"/>
      <c r="F18" s="74" t="str">
        <f aca="false">IFERROR(IF(D18="","",D18*E18),"")</f>
        <v/>
      </c>
      <c r="G18" s="72"/>
      <c r="H18" s="72"/>
      <c r="I18" s="74" t="str">
        <f aca="false">IFERROR(IF(G18="","",G18*H18),"")</f>
        <v/>
      </c>
      <c r="J18" s="72"/>
      <c r="K18" s="72"/>
      <c r="L18" s="74" t="str">
        <f aca="false">IFERROR(IF(J18="","",J18*K18),"")</f>
        <v/>
      </c>
      <c r="M18" s="72"/>
      <c r="N18" s="72"/>
      <c r="O18" s="74" t="str">
        <f aca="false">IFERROR(IF(M18="","",M18*N18),"")</f>
        <v/>
      </c>
      <c r="P18" s="72"/>
      <c r="Q18" s="72"/>
      <c r="R18" s="74" t="str">
        <f aca="false">IFERROR(IF(P18="","",P18*Q18),"")</f>
        <v/>
      </c>
      <c r="S18" s="72"/>
      <c r="T18" s="72"/>
      <c r="U18" s="74" t="str">
        <f aca="false">IFERROR(IF(S18="","",S18*T18),"")</f>
        <v/>
      </c>
      <c r="V18" s="72"/>
      <c r="W18" s="72"/>
      <c r="X18" s="74" t="str">
        <f aca="false">IFERROR(IF(V18="","",V18*W18),"")</f>
        <v/>
      </c>
      <c r="Y18" s="72"/>
      <c r="Z18" s="72"/>
      <c r="AA18" s="74" t="str">
        <f aca="false">IFERROR(IF(Y18="","",Y18*Z18),"")</f>
        <v/>
      </c>
      <c r="AB18" s="72"/>
      <c r="AC18" s="72"/>
      <c r="AD18" s="74" t="str">
        <f aca="false">IFERROR(IF(AB18="","",AB18*AC18),"")</f>
        <v/>
      </c>
      <c r="AE18" s="72"/>
      <c r="AF18" s="72"/>
      <c r="AG18" s="74" t="str">
        <f aca="false">IFERROR(IF(AE18="","",AE18*AF18),"")</f>
        <v/>
      </c>
      <c r="AH18" s="72"/>
      <c r="AI18" s="72"/>
      <c r="AJ18" s="74" t="str">
        <f aca="false">IFERROR(IF(AH18="","",AH18*AI18),"")</f>
        <v/>
      </c>
      <c r="AK18" s="72"/>
      <c r="AL18" s="72"/>
      <c r="AM18" s="74" t="str">
        <f aca="false">IFERROR(IF(AK18="","",AK18*AL18),"")</f>
        <v/>
      </c>
      <c r="AN18" s="72"/>
    </row>
    <row r="19" customFormat="false" ht="15.75" hidden="false" customHeight="true" outlineLevel="0" collapsed="false">
      <c r="A19" s="62" t="n">
        <v>12</v>
      </c>
      <c r="B19" s="75"/>
      <c r="C19" s="76"/>
      <c r="D19" s="75"/>
      <c r="E19" s="75"/>
      <c r="F19" s="77" t="str">
        <f aca="false">IFERROR(IF(D19="","",D19*E19),"")</f>
        <v/>
      </c>
      <c r="G19" s="75"/>
      <c r="H19" s="75"/>
      <c r="I19" s="77" t="str">
        <f aca="false">IFERROR(IF(G19="","",G19*H19),"")</f>
        <v/>
      </c>
      <c r="J19" s="75"/>
      <c r="K19" s="75"/>
      <c r="L19" s="77" t="str">
        <f aca="false">IFERROR(IF(J19="","",J19*K19),"")</f>
        <v/>
      </c>
      <c r="M19" s="75"/>
      <c r="N19" s="75"/>
      <c r="O19" s="77" t="str">
        <f aca="false">IFERROR(IF(M19="","",M19*N19),"")</f>
        <v/>
      </c>
      <c r="P19" s="75"/>
      <c r="Q19" s="75"/>
      <c r="R19" s="77" t="str">
        <f aca="false">IFERROR(IF(P19="","",P19*Q19),"")</f>
        <v/>
      </c>
      <c r="S19" s="75"/>
      <c r="T19" s="75"/>
      <c r="U19" s="77" t="str">
        <f aca="false">IFERROR(IF(S19="","",S19*T19),"")</f>
        <v/>
      </c>
      <c r="V19" s="75"/>
      <c r="W19" s="75"/>
      <c r="X19" s="77" t="str">
        <f aca="false">IFERROR(IF(V19="","",V19*W19),"")</f>
        <v/>
      </c>
      <c r="Y19" s="75"/>
      <c r="Z19" s="75"/>
      <c r="AA19" s="77" t="str">
        <f aca="false">IFERROR(IF(Y19="","",Y19*Z19),"")</f>
        <v/>
      </c>
      <c r="AB19" s="75"/>
      <c r="AC19" s="75"/>
      <c r="AD19" s="77" t="str">
        <f aca="false">IFERROR(IF(AB19="","",AB19*AC19),"")</f>
        <v/>
      </c>
      <c r="AE19" s="75"/>
      <c r="AF19" s="75"/>
      <c r="AG19" s="77" t="str">
        <f aca="false">IFERROR(IF(AE19="","",AE19*AF19),"")</f>
        <v/>
      </c>
      <c r="AH19" s="75"/>
      <c r="AI19" s="75"/>
      <c r="AJ19" s="77" t="str">
        <f aca="false">IFERROR(IF(AH19="","",AH19*AI19),"")</f>
        <v/>
      </c>
      <c r="AK19" s="75"/>
      <c r="AL19" s="75"/>
      <c r="AM19" s="77" t="str">
        <f aca="false">IFERROR(IF(AK19="","",AK19*AL19),"")</f>
        <v/>
      </c>
      <c r="AN19" s="75"/>
    </row>
    <row r="20" customFormat="false" ht="15.75" hidden="false" customHeight="true" outlineLevel="0" collapsed="false">
      <c r="A20" s="60" t="n">
        <v>13</v>
      </c>
      <c r="B20" s="72"/>
      <c r="C20" s="73"/>
      <c r="D20" s="72"/>
      <c r="E20" s="72"/>
      <c r="F20" s="74" t="str">
        <f aca="false">IFERROR(IF(D20="","",D20*E20),"")</f>
        <v/>
      </c>
      <c r="G20" s="72"/>
      <c r="H20" s="72"/>
      <c r="I20" s="74" t="str">
        <f aca="false">IFERROR(IF(G20="","",G20*H20),"")</f>
        <v/>
      </c>
      <c r="J20" s="72"/>
      <c r="K20" s="72"/>
      <c r="L20" s="74" t="str">
        <f aca="false">IFERROR(IF(J20="","",J20*K20),"")</f>
        <v/>
      </c>
      <c r="M20" s="72"/>
      <c r="N20" s="72"/>
      <c r="O20" s="74" t="str">
        <f aca="false">IFERROR(IF(M20="","",M20*N20),"")</f>
        <v/>
      </c>
      <c r="P20" s="72"/>
      <c r="Q20" s="72"/>
      <c r="R20" s="74" t="str">
        <f aca="false">IFERROR(IF(P20="","",P20*Q20),"")</f>
        <v/>
      </c>
      <c r="S20" s="72"/>
      <c r="T20" s="72"/>
      <c r="U20" s="74" t="str">
        <f aca="false">IFERROR(IF(S20="","",S20*T20),"")</f>
        <v/>
      </c>
      <c r="V20" s="72"/>
      <c r="W20" s="72"/>
      <c r="X20" s="74" t="str">
        <f aca="false">IFERROR(IF(V20="","",V20*W20),"")</f>
        <v/>
      </c>
      <c r="Y20" s="72"/>
      <c r="Z20" s="72"/>
      <c r="AA20" s="74" t="str">
        <f aca="false">IFERROR(IF(Y20="","",Y20*Z20),"")</f>
        <v/>
      </c>
      <c r="AB20" s="72"/>
      <c r="AC20" s="72"/>
      <c r="AD20" s="74" t="str">
        <f aca="false">IFERROR(IF(AB20="","",AB20*AC20),"")</f>
        <v/>
      </c>
      <c r="AE20" s="72"/>
      <c r="AF20" s="72"/>
      <c r="AG20" s="74" t="str">
        <f aca="false">IFERROR(IF(AE20="","",AE20*AF20),"")</f>
        <v/>
      </c>
      <c r="AH20" s="72"/>
      <c r="AI20" s="72"/>
      <c r="AJ20" s="74" t="str">
        <f aca="false">IFERROR(IF(AH20="","",AH20*AI20),"")</f>
        <v/>
      </c>
      <c r="AK20" s="72"/>
      <c r="AL20" s="72"/>
      <c r="AM20" s="74" t="str">
        <f aca="false">IFERROR(IF(AK20="","",AK20*AL20),"")</f>
        <v/>
      </c>
      <c r="AN20" s="72"/>
    </row>
    <row r="21" customFormat="false" ht="15.75" hidden="false" customHeight="true" outlineLevel="0" collapsed="false">
      <c r="A21" s="62" t="n">
        <v>14</v>
      </c>
      <c r="B21" s="75"/>
      <c r="C21" s="76"/>
      <c r="D21" s="75"/>
      <c r="E21" s="75"/>
      <c r="F21" s="77" t="str">
        <f aca="false">IFERROR(IF(D21="","",D21*E21),"")</f>
        <v/>
      </c>
      <c r="G21" s="75"/>
      <c r="H21" s="75"/>
      <c r="I21" s="77" t="str">
        <f aca="false">IFERROR(IF(G21="","",G21*H21),"")</f>
        <v/>
      </c>
      <c r="J21" s="75"/>
      <c r="K21" s="75"/>
      <c r="L21" s="77" t="str">
        <f aca="false">IFERROR(IF(J21="","",J21*K21),"")</f>
        <v/>
      </c>
      <c r="M21" s="75"/>
      <c r="N21" s="75"/>
      <c r="O21" s="77" t="str">
        <f aca="false">IFERROR(IF(M21="","",M21*N21),"")</f>
        <v/>
      </c>
      <c r="P21" s="75"/>
      <c r="Q21" s="75"/>
      <c r="R21" s="77" t="str">
        <f aca="false">IFERROR(IF(P21="","",P21*Q21),"")</f>
        <v/>
      </c>
      <c r="S21" s="75"/>
      <c r="T21" s="75"/>
      <c r="U21" s="77" t="str">
        <f aca="false">IFERROR(IF(S21="","",S21*T21),"")</f>
        <v/>
      </c>
      <c r="V21" s="75"/>
      <c r="W21" s="75"/>
      <c r="X21" s="77" t="str">
        <f aca="false">IFERROR(IF(V21="","",V21*W21),"")</f>
        <v/>
      </c>
      <c r="Y21" s="75"/>
      <c r="Z21" s="75"/>
      <c r="AA21" s="77" t="str">
        <f aca="false">IFERROR(IF(Y21="","",Y21*Z21),"")</f>
        <v/>
      </c>
      <c r="AB21" s="75"/>
      <c r="AC21" s="75"/>
      <c r="AD21" s="77" t="str">
        <f aca="false">IFERROR(IF(AB21="","",AB21*AC21),"")</f>
        <v/>
      </c>
      <c r="AE21" s="75"/>
      <c r="AF21" s="75"/>
      <c r="AG21" s="77" t="str">
        <f aca="false">IFERROR(IF(AE21="","",AE21*AF21),"")</f>
        <v/>
      </c>
      <c r="AH21" s="75"/>
      <c r="AI21" s="75"/>
      <c r="AJ21" s="77" t="str">
        <f aca="false">IFERROR(IF(AH21="","",AH21*AI21),"")</f>
        <v/>
      </c>
      <c r="AK21" s="75"/>
      <c r="AL21" s="75"/>
      <c r="AM21" s="77" t="str">
        <f aca="false">IFERROR(IF(AK21="","",AK21*AL21),"")</f>
        <v/>
      </c>
      <c r="AN21" s="75"/>
    </row>
    <row r="22" customFormat="false" ht="15.75" hidden="false" customHeight="true" outlineLevel="0" collapsed="false">
      <c r="A22" s="60" t="n">
        <v>15</v>
      </c>
      <c r="B22" s="72"/>
      <c r="C22" s="73"/>
      <c r="D22" s="72"/>
      <c r="E22" s="72"/>
      <c r="F22" s="74" t="str">
        <f aca="false">IFERROR(IF(D22="","",D22*E22),"")</f>
        <v/>
      </c>
      <c r="G22" s="72"/>
      <c r="H22" s="72"/>
      <c r="I22" s="74" t="str">
        <f aca="false">IFERROR(IF(G22="","",G22*H22),"")</f>
        <v/>
      </c>
      <c r="J22" s="72"/>
      <c r="K22" s="72"/>
      <c r="L22" s="74" t="str">
        <f aca="false">IFERROR(IF(J22="","",J22*K22),"")</f>
        <v/>
      </c>
      <c r="M22" s="72"/>
      <c r="N22" s="72"/>
      <c r="O22" s="74" t="str">
        <f aca="false">IFERROR(IF(M22="","",M22*N22),"")</f>
        <v/>
      </c>
      <c r="P22" s="72"/>
      <c r="Q22" s="72"/>
      <c r="R22" s="74" t="str">
        <f aca="false">IFERROR(IF(P22="","",P22*Q22),"")</f>
        <v/>
      </c>
      <c r="S22" s="72"/>
      <c r="T22" s="72"/>
      <c r="U22" s="74" t="str">
        <f aca="false">IFERROR(IF(S22="","",S22*T22),"")</f>
        <v/>
      </c>
      <c r="V22" s="72"/>
      <c r="W22" s="72"/>
      <c r="X22" s="74" t="str">
        <f aca="false">IFERROR(IF(V22="","",V22*W22),"")</f>
        <v/>
      </c>
      <c r="Y22" s="72"/>
      <c r="Z22" s="72"/>
      <c r="AA22" s="74" t="str">
        <f aca="false">IFERROR(IF(Y22="","",Y22*Z22),"")</f>
        <v/>
      </c>
      <c r="AB22" s="72"/>
      <c r="AC22" s="72"/>
      <c r="AD22" s="74" t="str">
        <f aca="false">IFERROR(IF(AB22="","",AB22*AC22),"")</f>
        <v/>
      </c>
      <c r="AE22" s="72"/>
      <c r="AF22" s="72"/>
      <c r="AG22" s="74" t="str">
        <f aca="false">IFERROR(IF(AE22="","",AE22*AF22),"")</f>
        <v/>
      </c>
      <c r="AH22" s="72"/>
      <c r="AI22" s="72"/>
      <c r="AJ22" s="74" t="str">
        <f aca="false">IFERROR(IF(AH22="","",AH22*AI22),"")</f>
        <v/>
      </c>
      <c r="AK22" s="72"/>
      <c r="AL22" s="72"/>
      <c r="AM22" s="74" t="str">
        <f aca="false">IFERROR(IF(AK22="","",AK22*AL22),"")</f>
        <v/>
      </c>
      <c r="AN22" s="72"/>
    </row>
    <row r="23" customFormat="false" ht="15.75" hidden="false" customHeight="true" outlineLevel="0" collapsed="false">
      <c r="A23" s="62" t="n">
        <v>16</v>
      </c>
      <c r="B23" s="75"/>
      <c r="C23" s="76"/>
      <c r="D23" s="75"/>
      <c r="E23" s="75"/>
      <c r="F23" s="77" t="str">
        <f aca="false">IFERROR(IF(D23="","",D23*E23),"")</f>
        <v/>
      </c>
      <c r="G23" s="75"/>
      <c r="H23" s="75"/>
      <c r="I23" s="77" t="str">
        <f aca="false">IFERROR(IF(G23="","",G23*H23),"")</f>
        <v/>
      </c>
      <c r="J23" s="75"/>
      <c r="K23" s="75"/>
      <c r="L23" s="77" t="str">
        <f aca="false">IFERROR(IF(J23="","",J23*K23),"")</f>
        <v/>
      </c>
      <c r="M23" s="75"/>
      <c r="N23" s="75"/>
      <c r="O23" s="77" t="str">
        <f aca="false">IFERROR(IF(M23="","",M23*N23),"")</f>
        <v/>
      </c>
      <c r="P23" s="75"/>
      <c r="Q23" s="75"/>
      <c r="R23" s="77" t="str">
        <f aca="false">IFERROR(IF(P23="","",P23*Q23),"")</f>
        <v/>
      </c>
      <c r="S23" s="75"/>
      <c r="T23" s="75"/>
      <c r="U23" s="77" t="str">
        <f aca="false">IFERROR(IF(S23="","",S23*T23),"")</f>
        <v/>
      </c>
      <c r="V23" s="75"/>
      <c r="W23" s="75"/>
      <c r="X23" s="77" t="str">
        <f aca="false">IFERROR(IF(V23="","",V23*W23),"")</f>
        <v/>
      </c>
      <c r="Y23" s="75"/>
      <c r="Z23" s="75"/>
      <c r="AA23" s="77" t="str">
        <f aca="false">IFERROR(IF(Y23="","",Y23*Z23),"")</f>
        <v/>
      </c>
      <c r="AB23" s="75"/>
      <c r="AC23" s="75"/>
      <c r="AD23" s="77" t="str">
        <f aca="false">IFERROR(IF(AB23="","",AB23*AC23),"")</f>
        <v/>
      </c>
      <c r="AE23" s="75"/>
      <c r="AF23" s="75"/>
      <c r="AG23" s="77" t="str">
        <f aca="false">IFERROR(IF(AE23="","",AE23*AF23),"")</f>
        <v/>
      </c>
      <c r="AH23" s="75"/>
      <c r="AI23" s="75"/>
      <c r="AJ23" s="77" t="str">
        <f aca="false">IFERROR(IF(AH23="","",AH23*AI23),"")</f>
        <v/>
      </c>
      <c r="AK23" s="75"/>
      <c r="AL23" s="75"/>
      <c r="AM23" s="77" t="str">
        <f aca="false">IFERROR(IF(AK23="","",AK23*AL23),"")</f>
        <v/>
      </c>
      <c r="AN23" s="75"/>
    </row>
    <row r="24" customFormat="false" ht="15.75" hidden="false" customHeight="true" outlineLevel="0" collapsed="false">
      <c r="A24" s="60" t="n">
        <v>17</v>
      </c>
      <c r="B24" s="72"/>
      <c r="C24" s="73"/>
      <c r="D24" s="72"/>
      <c r="E24" s="72"/>
      <c r="F24" s="74" t="str">
        <f aca="false">IFERROR(IF(D24="","",D24*E24),"")</f>
        <v/>
      </c>
      <c r="G24" s="72"/>
      <c r="H24" s="72"/>
      <c r="I24" s="74" t="str">
        <f aca="false">IFERROR(IF(G24="","",G24*H24),"")</f>
        <v/>
      </c>
      <c r="J24" s="72"/>
      <c r="K24" s="72"/>
      <c r="L24" s="74" t="str">
        <f aca="false">IFERROR(IF(J24="","",J24*K24),"")</f>
        <v/>
      </c>
      <c r="M24" s="72"/>
      <c r="N24" s="72"/>
      <c r="O24" s="74" t="str">
        <f aca="false">IFERROR(IF(M24="","",M24*N24),"")</f>
        <v/>
      </c>
      <c r="P24" s="72"/>
      <c r="Q24" s="72"/>
      <c r="R24" s="74" t="str">
        <f aca="false">IFERROR(IF(P24="","",P24*Q24),"")</f>
        <v/>
      </c>
      <c r="S24" s="72"/>
      <c r="T24" s="72"/>
      <c r="U24" s="74" t="str">
        <f aca="false">IFERROR(IF(S24="","",S24*T24),"")</f>
        <v/>
      </c>
      <c r="V24" s="72"/>
      <c r="W24" s="72"/>
      <c r="X24" s="74" t="str">
        <f aca="false">IFERROR(IF(V24="","",V24*W24),"")</f>
        <v/>
      </c>
      <c r="Y24" s="72"/>
      <c r="Z24" s="72"/>
      <c r="AA24" s="74" t="str">
        <f aca="false">IFERROR(IF(Y24="","",Y24*Z24),"")</f>
        <v/>
      </c>
      <c r="AB24" s="72"/>
      <c r="AC24" s="72"/>
      <c r="AD24" s="74" t="str">
        <f aca="false">IFERROR(IF(AB24="","",AB24*AC24),"")</f>
        <v/>
      </c>
      <c r="AE24" s="72"/>
      <c r="AF24" s="72"/>
      <c r="AG24" s="74" t="str">
        <f aca="false">IFERROR(IF(AE24="","",AE24*AF24),"")</f>
        <v/>
      </c>
      <c r="AH24" s="72"/>
      <c r="AI24" s="72"/>
      <c r="AJ24" s="74" t="str">
        <f aca="false">IFERROR(IF(AH24="","",AH24*AI24),"")</f>
        <v/>
      </c>
      <c r="AK24" s="72"/>
      <c r="AL24" s="72"/>
      <c r="AM24" s="74" t="str">
        <f aca="false">IFERROR(IF(AK24="","",AK24*AL24),"")</f>
        <v/>
      </c>
      <c r="AN24" s="72"/>
    </row>
    <row r="25" customFormat="false" ht="15.75" hidden="false" customHeight="true" outlineLevel="0" collapsed="false">
      <c r="A25" s="62" t="n">
        <v>18</v>
      </c>
      <c r="B25" s="75"/>
      <c r="C25" s="76"/>
      <c r="D25" s="75"/>
      <c r="E25" s="75"/>
      <c r="F25" s="77" t="str">
        <f aca="false">IFERROR(IF(D25="","",D25*E25),"")</f>
        <v/>
      </c>
      <c r="G25" s="75"/>
      <c r="H25" s="75"/>
      <c r="I25" s="77" t="str">
        <f aca="false">IFERROR(IF(G25="","",G25*H25),"")</f>
        <v/>
      </c>
      <c r="J25" s="75"/>
      <c r="K25" s="75"/>
      <c r="L25" s="77" t="str">
        <f aca="false">IFERROR(IF(J25="","",J25*K25),"")</f>
        <v/>
      </c>
      <c r="M25" s="75"/>
      <c r="N25" s="75"/>
      <c r="O25" s="77" t="str">
        <f aca="false">IFERROR(IF(M25="","",M25*N25),"")</f>
        <v/>
      </c>
      <c r="P25" s="75"/>
      <c r="Q25" s="75"/>
      <c r="R25" s="77" t="str">
        <f aca="false">IFERROR(IF(P25="","",P25*Q25),"")</f>
        <v/>
      </c>
      <c r="S25" s="75"/>
      <c r="T25" s="75"/>
      <c r="U25" s="77" t="str">
        <f aca="false">IFERROR(IF(S25="","",S25*T25),"")</f>
        <v/>
      </c>
      <c r="V25" s="75"/>
      <c r="W25" s="75"/>
      <c r="X25" s="77" t="str">
        <f aca="false">IFERROR(IF(V25="","",V25*W25),"")</f>
        <v/>
      </c>
      <c r="Y25" s="75"/>
      <c r="Z25" s="75"/>
      <c r="AA25" s="77" t="str">
        <f aca="false">IFERROR(IF(Y25="","",Y25*Z25),"")</f>
        <v/>
      </c>
      <c r="AB25" s="75"/>
      <c r="AC25" s="75"/>
      <c r="AD25" s="77" t="str">
        <f aca="false">IFERROR(IF(AB25="","",AB25*AC25),"")</f>
        <v/>
      </c>
      <c r="AE25" s="75"/>
      <c r="AF25" s="75"/>
      <c r="AG25" s="77" t="str">
        <f aca="false">IFERROR(IF(AE25="","",AE25*AF25),"")</f>
        <v/>
      </c>
      <c r="AH25" s="75"/>
      <c r="AI25" s="75"/>
      <c r="AJ25" s="77" t="str">
        <f aca="false">IFERROR(IF(AH25="","",AH25*AI25),"")</f>
        <v/>
      </c>
      <c r="AK25" s="75"/>
      <c r="AL25" s="75"/>
      <c r="AM25" s="77" t="str">
        <f aca="false">IFERROR(IF(AK25="","",AK25*AL25),"")</f>
        <v/>
      </c>
      <c r="AN25" s="75"/>
    </row>
    <row r="26" customFormat="false" ht="15.75" hidden="false" customHeight="true" outlineLevel="0" collapsed="false">
      <c r="A26" s="60" t="n">
        <v>19</v>
      </c>
      <c r="B26" s="72"/>
      <c r="C26" s="73"/>
      <c r="D26" s="72"/>
      <c r="E26" s="72"/>
      <c r="F26" s="74" t="str">
        <f aca="false">IFERROR(IF(D26="","",D26*E26),"")</f>
        <v/>
      </c>
      <c r="G26" s="72"/>
      <c r="H26" s="72"/>
      <c r="I26" s="74" t="str">
        <f aca="false">IFERROR(IF(G26="","",G26*H26),"")</f>
        <v/>
      </c>
      <c r="J26" s="72"/>
      <c r="K26" s="72"/>
      <c r="L26" s="74" t="str">
        <f aca="false">IFERROR(IF(J26="","",J26*K26),"")</f>
        <v/>
      </c>
      <c r="M26" s="72"/>
      <c r="N26" s="72"/>
      <c r="O26" s="74" t="str">
        <f aca="false">IFERROR(IF(M26="","",M26*N26),"")</f>
        <v/>
      </c>
      <c r="P26" s="72"/>
      <c r="Q26" s="72"/>
      <c r="R26" s="74" t="str">
        <f aca="false">IFERROR(IF(P26="","",P26*Q26),"")</f>
        <v/>
      </c>
      <c r="S26" s="72"/>
      <c r="T26" s="72"/>
      <c r="U26" s="74" t="str">
        <f aca="false">IFERROR(IF(S26="","",S26*T26),"")</f>
        <v/>
      </c>
      <c r="V26" s="72"/>
      <c r="W26" s="72"/>
      <c r="X26" s="74" t="str">
        <f aca="false">IFERROR(IF(V26="","",V26*W26),"")</f>
        <v/>
      </c>
      <c r="Y26" s="72"/>
      <c r="Z26" s="72"/>
      <c r="AA26" s="74" t="str">
        <f aca="false">IFERROR(IF(Y26="","",Y26*Z26),"")</f>
        <v/>
      </c>
      <c r="AB26" s="72"/>
      <c r="AC26" s="72"/>
      <c r="AD26" s="74" t="str">
        <f aca="false">IFERROR(IF(AB26="","",AB26*AC26),"")</f>
        <v/>
      </c>
      <c r="AE26" s="72"/>
      <c r="AF26" s="72"/>
      <c r="AG26" s="74" t="str">
        <f aca="false">IFERROR(IF(AE26="","",AE26*AF26),"")</f>
        <v/>
      </c>
      <c r="AH26" s="72"/>
      <c r="AI26" s="72"/>
      <c r="AJ26" s="74" t="str">
        <f aca="false">IFERROR(IF(AH26="","",AH26*AI26),"")</f>
        <v/>
      </c>
      <c r="AK26" s="72"/>
      <c r="AL26" s="72"/>
      <c r="AM26" s="74" t="str">
        <f aca="false">IFERROR(IF(AK26="","",AK26*AL26),"")</f>
        <v/>
      </c>
      <c r="AN26" s="72"/>
    </row>
    <row r="27" customFormat="false" ht="15.75" hidden="false" customHeight="true" outlineLevel="0" collapsed="false">
      <c r="A27" s="62" t="n">
        <v>20</v>
      </c>
      <c r="B27" s="75"/>
      <c r="C27" s="76"/>
      <c r="D27" s="75"/>
      <c r="E27" s="75"/>
      <c r="F27" s="77" t="str">
        <f aca="false">IFERROR(IF(D27="","",D27*E27),"")</f>
        <v/>
      </c>
      <c r="G27" s="75"/>
      <c r="H27" s="75"/>
      <c r="I27" s="77" t="str">
        <f aca="false">IFERROR(IF(G27="","",G27*H27),"")</f>
        <v/>
      </c>
      <c r="J27" s="75"/>
      <c r="K27" s="75"/>
      <c r="L27" s="77" t="str">
        <f aca="false">IFERROR(IF(J27="","",J27*K27),"")</f>
        <v/>
      </c>
      <c r="M27" s="75"/>
      <c r="N27" s="75"/>
      <c r="O27" s="77" t="str">
        <f aca="false">IFERROR(IF(M27="","",M27*N27),"")</f>
        <v/>
      </c>
      <c r="P27" s="75"/>
      <c r="Q27" s="75"/>
      <c r="R27" s="77" t="str">
        <f aca="false">IFERROR(IF(P27="","",P27*Q27),"")</f>
        <v/>
      </c>
      <c r="S27" s="75"/>
      <c r="T27" s="75"/>
      <c r="U27" s="77" t="str">
        <f aca="false">IFERROR(IF(S27="","",S27*T27),"")</f>
        <v/>
      </c>
      <c r="V27" s="75"/>
      <c r="W27" s="75"/>
      <c r="X27" s="77" t="str">
        <f aca="false">IFERROR(IF(V27="","",V27*W27),"")</f>
        <v/>
      </c>
      <c r="Y27" s="75"/>
      <c r="Z27" s="75"/>
      <c r="AA27" s="77" t="str">
        <f aca="false">IFERROR(IF(Y27="","",Y27*Z27),"")</f>
        <v/>
      </c>
      <c r="AB27" s="75"/>
      <c r="AC27" s="75"/>
      <c r="AD27" s="77" t="str">
        <f aca="false">IFERROR(IF(AB27="","",AB27*AC27),"")</f>
        <v/>
      </c>
      <c r="AE27" s="75"/>
      <c r="AF27" s="75"/>
      <c r="AG27" s="77" t="str">
        <f aca="false">IFERROR(IF(AE27="","",AE27*AF27),"")</f>
        <v/>
      </c>
      <c r="AH27" s="75"/>
      <c r="AI27" s="75"/>
      <c r="AJ27" s="77" t="str">
        <f aca="false">IFERROR(IF(AH27="","",AH27*AI27),"")</f>
        <v/>
      </c>
      <c r="AK27" s="75"/>
      <c r="AL27" s="75"/>
      <c r="AM27" s="77" t="str">
        <f aca="false">IFERROR(IF(AK27="","",AK27*AL27),"")</f>
        <v/>
      </c>
      <c r="AN27" s="75"/>
    </row>
    <row r="28" customFormat="false" ht="15.75" hidden="false" customHeight="true" outlineLevel="0" collapsed="false">
      <c r="A28" s="60" t="n">
        <v>21</v>
      </c>
      <c r="B28" s="72"/>
      <c r="C28" s="73"/>
      <c r="D28" s="72"/>
      <c r="E28" s="72"/>
      <c r="F28" s="74" t="str">
        <f aca="false">IFERROR(IF(D28="","",D28*E28),"")</f>
        <v/>
      </c>
      <c r="G28" s="72"/>
      <c r="H28" s="72"/>
      <c r="I28" s="74" t="str">
        <f aca="false">IFERROR(IF(G28="","",G28*H28),"")</f>
        <v/>
      </c>
      <c r="J28" s="72"/>
      <c r="K28" s="72"/>
      <c r="L28" s="74" t="str">
        <f aca="false">IFERROR(IF(J28="","",J28*K28),"")</f>
        <v/>
      </c>
      <c r="M28" s="72"/>
      <c r="N28" s="72"/>
      <c r="O28" s="74" t="str">
        <f aca="false">IFERROR(IF(M28="","",M28*N28),"")</f>
        <v/>
      </c>
      <c r="P28" s="72"/>
      <c r="Q28" s="72"/>
      <c r="R28" s="74" t="str">
        <f aca="false">IFERROR(IF(P28="","",P28*Q28),"")</f>
        <v/>
      </c>
      <c r="S28" s="72"/>
      <c r="T28" s="72"/>
      <c r="U28" s="74" t="str">
        <f aca="false">IFERROR(IF(S28="","",S28*T28),"")</f>
        <v/>
      </c>
      <c r="V28" s="72"/>
      <c r="W28" s="72"/>
      <c r="X28" s="74" t="str">
        <f aca="false">IFERROR(IF(V28="","",V28*W28),"")</f>
        <v/>
      </c>
      <c r="Y28" s="72"/>
      <c r="Z28" s="72"/>
      <c r="AA28" s="74" t="str">
        <f aca="false">IFERROR(IF(Y28="","",Y28*Z28),"")</f>
        <v/>
      </c>
      <c r="AB28" s="72"/>
      <c r="AC28" s="72"/>
      <c r="AD28" s="74" t="str">
        <f aca="false">IFERROR(IF(AB28="","",AB28*AC28),"")</f>
        <v/>
      </c>
      <c r="AE28" s="72"/>
      <c r="AF28" s="72"/>
      <c r="AG28" s="74" t="str">
        <f aca="false">IFERROR(IF(AE28="","",AE28*AF28),"")</f>
        <v/>
      </c>
      <c r="AH28" s="72"/>
      <c r="AI28" s="72"/>
      <c r="AJ28" s="74" t="str">
        <f aca="false">IFERROR(IF(AH28="","",AH28*AI28),"")</f>
        <v/>
      </c>
      <c r="AK28" s="72"/>
      <c r="AL28" s="72"/>
      <c r="AM28" s="74" t="str">
        <f aca="false">IFERROR(IF(AK28="","",AK28*AL28),"")</f>
        <v/>
      </c>
      <c r="AN28" s="72"/>
    </row>
    <row r="29" customFormat="false" ht="15.75" hidden="false" customHeight="true" outlineLevel="0" collapsed="false">
      <c r="A29" s="62" t="n">
        <v>22</v>
      </c>
      <c r="B29" s="75"/>
      <c r="C29" s="76"/>
      <c r="D29" s="75"/>
      <c r="E29" s="75"/>
      <c r="F29" s="77" t="str">
        <f aca="false">IFERROR(IF(D29="","",D29*E29),"")</f>
        <v/>
      </c>
      <c r="G29" s="75"/>
      <c r="H29" s="75"/>
      <c r="I29" s="77" t="str">
        <f aca="false">IFERROR(IF(G29="","",G29*H29),"")</f>
        <v/>
      </c>
      <c r="J29" s="75"/>
      <c r="K29" s="75"/>
      <c r="L29" s="77" t="str">
        <f aca="false">IFERROR(IF(J29="","",J29*K29),"")</f>
        <v/>
      </c>
      <c r="M29" s="75"/>
      <c r="N29" s="75"/>
      <c r="O29" s="77" t="str">
        <f aca="false">IFERROR(IF(M29="","",M29*N29),"")</f>
        <v/>
      </c>
      <c r="P29" s="75"/>
      <c r="Q29" s="75"/>
      <c r="R29" s="77" t="str">
        <f aca="false">IFERROR(IF(P29="","",P29*Q29),"")</f>
        <v/>
      </c>
      <c r="S29" s="75"/>
      <c r="T29" s="75"/>
      <c r="U29" s="77" t="str">
        <f aca="false">IFERROR(IF(S29="","",S29*T29),"")</f>
        <v/>
      </c>
      <c r="V29" s="75"/>
      <c r="W29" s="75"/>
      <c r="X29" s="77" t="str">
        <f aca="false">IFERROR(IF(V29="","",V29*W29),"")</f>
        <v/>
      </c>
      <c r="Y29" s="75"/>
      <c r="Z29" s="75"/>
      <c r="AA29" s="77" t="str">
        <f aca="false">IFERROR(IF(Y29="","",Y29*Z29),"")</f>
        <v/>
      </c>
      <c r="AB29" s="75"/>
      <c r="AC29" s="75"/>
      <c r="AD29" s="77" t="str">
        <f aca="false">IFERROR(IF(AB29="","",AB29*AC29),"")</f>
        <v/>
      </c>
      <c r="AE29" s="75"/>
      <c r="AF29" s="75"/>
      <c r="AG29" s="77" t="str">
        <f aca="false">IFERROR(IF(AE29="","",AE29*AF29),"")</f>
        <v/>
      </c>
      <c r="AH29" s="75"/>
      <c r="AI29" s="75"/>
      <c r="AJ29" s="77" t="str">
        <f aca="false">IFERROR(IF(AH29="","",AH29*AI29),"")</f>
        <v/>
      </c>
      <c r="AK29" s="75"/>
      <c r="AL29" s="75"/>
      <c r="AM29" s="77" t="str">
        <f aca="false">IFERROR(IF(AK29="","",AK29*AL29),"")</f>
        <v/>
      </c>
      <c r="AN29" s="75"/>
    </row>
    <row r="30" customFormat="false" ht="15.75" hidden="false" customHeight="true" outlineLevel="0" collapsed="false">
      <c r="A30" s="60" t="n">
        <v>23</v>
      </c>
      <c r="B30" s="72"/>
      <c r="C30" s="73"/>
      <c r="D30" s="72"/>
      <c r="E30" s="72"/>
      <c r="F30" s="74" t="str">
        <f aca="false">IFERROR(IF(D30="","",D30*E30),"")</f>
        <v/>
      </c>
      <c r="G30" s="72"/>
      <c r="H30" s="72"/>
      <c r="I30" s="74" t="str">
        <f aca="false">IFERROR(IF(G30="","",G30*H30),"")</f>
        <v/>
      </c>
      <c r="J30" s="72"/>
      <c r="K30" s="72"/>
      <c r="L30" s="74" t="str">
        <f aca="false">IFERROR(IF(J30="","",J30*K30),"")</f>
        <v/>
      </c>
      <c r="M30" s="72"/>
      <c r="N30" s="72"/>
      <c r="O30" s="74" t="str">
        <f aca="false">IFERROR(IF(M30="","",M30*N30),"")</f>
        <v/>
      </c>
      <c r="P30" s="72"/>
      <c r="Q30" s="72"/>
      <c r="R30" s="74" t="str">
        <f aca="false">IFERROR(IF(P30="","",P30*Q30),"")</f>
        <v/>
      </c>
      <c r="S30" s="72"/>
      <c r="T30" s="72"/>
      <c r="U30" s="74" t="str">
        <f aca="false">IFERROR(IF(S30="","",S30*T30),"")</f>
        <v/>
      </c>
      <c r="V30" s="72"/>
      <c r="W30" s="72"/>
      <c r="X30" s="74" t="str">
        <f aca="false">IFERROR(IF(V30="","",V30*W30),"")</f>
        <v/>
      </c>
      <c r="Y30" s="72"/>
      <c r="Z30" s="72"/>
      <c r="AA30" s="74" t="str">
        <f aca="false">IFERROR(IF(Y30="","",Y30*Z30),"")</f>
        <v/>
      </c>
      <c r="AB30" s="72"/>
      <c r="AC30" s="72"/>
      <c r="AD30" s="74" t="str">
        <f aca="false">IFERROR(IF(AB30="","",AB30*AC30),"")</f>
        <v/>
      </c>
      <c r="AE30" s="72"/>
      <c r="AF30" s="72"/>
      <c r="AG30" s="74" t="str">
        <f aca="false">IFERROR(IF(AE30="","",AE30*AF30),"")</f>
        <v/>
      </c>
      <c r="AH30" s="72"/>
      <c r="AI30" s="72"/>
      <c r="AJ30" s="74" t="str">
        <f aca="false">IFERROR(IF(AH30="","",AH30*AI30),"")</f>
        <v/>
      </c>
      <c r="AK30" s="72"/>
      <c r="AL30" s="72"/>
      <c r="AM30" s="74" t="str">
        <f aca="false">IFERROR(IF(AK30="","",AK30*AL30),"")</f>
        <v/>
      </c>
      <c r="AN30" s="72"/>
    </row>
    <row r="31" customFormat="false" ht="15.75" hidden="false" customHeight="true" outlineLevel="0" collapsed="false">
      <c r="A31" s="62" t="n">
        <v>24</v>
      </c>
      <c r="B31" s="75"/>
      <c r="C31" s="76"/>
      <c r="D31" s="75"/>
      <c r="E31" s="75"/>
      <c r="F31" s="77" t="str">
        <f aca="false">IFERROR(IF(D31="","",D31*E31),"")</f>
        <v/>
      </c>
      <c r="G31" s="75"/>
      <c r="H31" s="75"/>
      <c r="I31" s="77" t="str">
        <f aca="false">IFERROR(IF(G31="","",G31*H31),"")</f>
        <v/>
      </c>
      <c r="J31" s="75"/>
      <c r="K31" s="75"/>
      <c r="L31" s="77" t="str">
        <f aca="false">IFERROR(IF(J31="","",J31*K31),"")</f>
        <v/>
      </c>
      <c r="M31" s="75"/>
      <c r="N31" s="75"/>
      <c r="O31" s="77" t="str">
        <f aca="false">IFERROR(IF(M31="","",M31*N31),"")</f>
        <v/>
      </c>
      <c r="P31" s="75"/>
      <c r="Q31" s="75"/>
      <c r="R31" s="77" t="str">
        <f aca="false">IFERROR(IF(P31="","",P31*Q31),"")</f>
        <v/>
      </c>
      <c r="S31" s="75"/>
      <c r="T31" s="75"/>
      <c r="U31" s="77" t="str">
        <f aca="false">IFERROR(IF(S31="","",S31*T31),"")</f>
        <v/>
      </c>
      <c r="V31" s="75"/>
      <c r="W31" s="75"/>
      <c r="X31" s="77" t="str">
        <f aca="false">IFERROR(IF(V31="","",V31*W31),"")</f>
        <v/>
      </c>
      <c r="Y31" s="75"/>
      <c r="Z31" s="75"/>
      <c r="AA31" s="77" t="str">
        <f aca="false">IFERROR(IF(Y31="","",Y31*Z31),"")</f>
        <v/>
      </c>
      <c r="AB31" s="75"/>
      <c r="AC31" s="75"/>
      <c r="AD31" s="77" t="str">
        <f aca="false">IFERROR(IF(AB31="","",AB31*AC31),"")</f>
        <v/>
      </c>
      <c r="AE31" s="75"/>
      <c r="AF31" s="75"/>
      <c r="AG31" s="77" t="str">
        <f aca="false">IFERROR(IF(AE31="","",AE31*AF31),"")</f>
        <v/>
      </c>
      <c r="AH31" s="75"/>
      <c r="AI31" s="75"/>
      <c r="AJ31" s="77" t="str">
        <f aca="false">IFERROR(IF(AH31="","",AH31*AI31),"")</f>
        <v/>
      </c>
      <c r="AK31" s="75"/>
      <c r="AL31" s="75"/>
      <c r="AM31" s="77" t="str">
        <f aca="false">IFERROR(IF(AK31="","",AK31*AL31),"")</f>
        <v/>
      </c>
      <c r="AN31" s="75"/>
    </row>
    <row r="32" customFormat="false" ht="15.75" hidden="false" customHeight="true" outlineLevel="0" collapsed="false">
      <c r="A32" s="60" t="n">
        <v>25</v>
      </c>
      <c r="B32" s="72"/>
      <c r="C32" s="73"/>
      <c r="D32" s="72"/>
      <c r="E32" s="72"/>
      <c r="F32" s="74" t="str">
        <f aca="false">IFERROR(IF(D32="","",D32*E32),"")</f>
        <v/>
      </c>
      <c r="G32" s="72"/>
      <c r="H32" s="72"/>
      <c r="I32" s="74" t="str">
        <f aca="false">IFERROR(IF(G32="","",G32*H32),"")</f>
        <v/>
      </c>
      <c r="J32" s="72"/>
      <c r="K32" s="72"/>
      <c r="L32" s="74" t="str">
        <f aca="false">IFERROR(IF(J32="","",J32*K32),"")</f>
        <v/>
      </c>
      <c r="M32" s="72"/>
      <c r="N32" s="72"/>
      <c r="O32" s="74" t="str">
        <f aca="false">IFERROR(IF(M32="","",M32*N32),"")</f>
        <v/>
      </c>
      <c r="P32" s="72"/>
      <c r="Q32" s="72"/>
      <c r="R32" s="74" t="str">
        <f aca="false">IFERROR(IF(P32="","",P32*Q32),"")</f>
        <v/>
      </c>
      <c r="S32" s="72"/>
      <c r="T32" s="72"/>
      <c r="U32" s="74" t="str">
        <f aca="false">IFERROR(IF(S32="","",S32*T32),"")</f>
        <v/>
      </c>
      <c r="V32" s="72"/>
      <c r="W32" s="72"/>
      <c r="X32" s="74" t="str">
        <f aca="false">IFERROR(IF(V32="","",V32*W32),"")</f>
        <v/>
      </c>
      <c r="Y32" s="72"/>
      <c r="Z32" s="72"/>
      <c r="AA32" s="74" t="str">
        <f aca="false">IFERROR(IF(Y32="","",Y32*Z32),"")</f>
        <v/>
      </c>
      <c r="AB32" s="72"/>
      <c r="AC32" s="72"/>
      <c r="AD32" s="74" t="str">
        <f aca="false">IFERROR(IF(AB32="","",AB32*AC32),"")</f>
        <v/>
      </c>
      <c r="AE32" s="72"/>
      <c r="AF32" s="72"/>
      <c r="AG32" s="74" t="str">
        <f aca="false">IFERROR(IF(AE32="","",AE32*AF32),"")</f>
        <v/>
      </c>
      <c r="AH32" s="72"/>
      <c r="AI32" s="72"/>
      <c r="AJ32" s="74" t="str">
        <f aca="false">IFERROR(IF(AH32="","",AH32*AI32),"")</f>
        <v/>
      </c>
      <c r="AK32" s="72"/>
      <c r="AL32" s="72"/>
      <c r="AM32" s="74" t="str">
        <f aca="false">IFERROR(IF(AK32="","",AK32*AL32),"")</f>
        <v/>
      </c>
      <c r="AN32" s="72"/>
    </row>
    <row r="33" customFormat="false" ht="15.75" hidden="false" customHeight="true" outlineLevel="0" collapsed="false">
      <c r="A33" s="62" t="n">
        <v>26</v>
      </c>
      <c r="B33" s="75"/>
      <c r="C33" s="76"/>
      <c r="D33" s="75"/>
      <c r="E33" s="75"/>
      <c r="F33" s="77" t="str">
        <f aca="false">IFERROR(IF(D33="","",D33*E33),"")</f>
        <v/>
      </c>
      <c r="G33" s="75"/>
      <c r="H33" s="75"/>
      <c r="I33" s="77" t="str">
        <f aca="false">IFERROR(IF(G33="","",G33*H33),"")</f>
        <v/>
      </c>
      <c r="J33" s="75"/>
      <c r="K33" s="75"/>
      <c r="L33" s="77" t="str">
        <f aca="false">IFERROR(IF(J33="","",J33*K33),"")</f>
        <v/>
      </c>
      <c r="M33" s="75"/>
      <c r="N33" s="75"/>
      <c r="O33" s="77" t="str">
        <f aca="false">IFERROR(IF(M33="","",M33*N33),"")</f>
        <v/>
      </c>
      <c r="P33" s="75"/>
      <c r="Q33" s="75"/>
      <c r="R33" s="77" t="str">
        <f aca="false">IFERROR(IF(P33="","",P33*Q33),"")</f>
        <v/>
      </c>
      <c r="S33" s="75"/>
      <c r="T33" s="75"/>
      <c r="U33" s="77" t="str">
        <f aca="false">IFERROR(IF(S33="","",S33*T33),"")</f>
        <v/>
      </c>
      <c r="V33" s="75"/>
      <c r="W33" s="75"/>
      <c r="X33" s="77" t="str">
        <f aca="false">IFERROR(IF(V33="","",V33*W33),"")</f>
        <v/>
      </c>
      <c r="Y33" s="75"/>
      <c r="Z33" s="75"/>
      <c r="AA33" s="77" t="str">
        <f aca="false">IFERROR(IF(Y33="","",Y33*Z33),"")</f>
        <v/>
      </c>
      <c r="AB33" s="75"/>
      <c r="AC33" s="75"/>
      <c r="AD33" s="77" t="str">
        <f aca="false">IFERROR(IF(AB33="","",AB33*AC33),"")</f>
        <v/>
      </c>
      <c r="AE33" s="75"/>
      <c r="AF33" s="75"/>
      <c r="AG33" s="77" t="str">
        <f aca="false">IFERROR(IF(AE33="","",AE33*AF33),"")</f>
        <v/>
      </c>
      <c r="AH33" s="75"/>
      <c r="AI33" s="75"/>
      <c r="AJ33" s="77" t="str">
        <f aca="false">IFERROR(IF(AH33="","",AH33*AI33),"")</f>
        <v/>
      </c>
      <c r="AK33" s="75"/>
      <c r="AL33" s="75"/>
      <c r="AM33" s="77" t="str">
        <f aca="false">IFERROR(IF(AK33="","",AK33*AL33),"")</f>
        <v/>
      </c>
      <c r="AN33" s="75"/>
    </row>
    <row r="34" customFormat="false" ht="15.75" hidden="false" customHeight="true" outlineLevel="0" collapsed="false">
      <c r="A34" s="60" t="n">
        <v>27</v>
      </c>
      <c r="B34" s="72"/>
      <c r="C34" s="73"/>
      <c r="D34" s="72"/>
      <c r="E34" s="72"/>
      <c r="F34" s="74" t="str">
        <f aca="false">IFERROR(IF(D34="","",D34*E34),"")</f>
        <v/>
      </c>
      <c r="G34" s="72"/>
      <c r="H34" s="72"/>
      <c r="I34" s="74" t="str">
        <f aca="false">IFERROR(IF(G34="","",G34*H34),"")</f>
        <v/>
      </c>
      <c r="J34" s="72"/>
      <c r="K34" s="72"/>
      <c r="L34" s="74" t="str">
        <f aca="false">IFERROR(IF(J34="","",J34*K34),"")</f>
        <v/>
      </c>
      <c r="M34" s="72"/>
      <c r="N34" s="72"/>
      <c r="O34" s="74" t="str">
        <f aca="false">IFERROR(IF(M34="","",M34*N34),"")</f>
        <v/>
      </c>
      <c r="P34" s="72"/>
      <c r="Q34" s="72"/>
      <c r="R34" s="74" t="str">
        <f aca="false">IFERROR(IF(P34="","",P34*Q34),"")</f>
        <v/>
      </c>
      <c r="S34" s="72"/>
      <c r="T34" s="72"/>
      <c r="U34" s="74" t="str">
        <f aca="false">IFERROR(IF(S34="","",S34*T34),"")</f>
        <v/>
      </c>
      <c r="V34" s="72"/>
      <c r="W34" s="72"/>
      <c r="X34" s="74" t="str">
        <f aca="false">IFERROR(IF(V34="","",V34*W34),"")</f>
        <v/>
      </c>
      <c r="Y34" s="72"/>
      <c r="Z34" s="72"/>
      <c r="AA34" s="74" t="str">
        <f aca="false">IFERROR(IF(Y34="","",Y34*Z34),"")</f>
        <v/>
      </c>
      <c r="AB34" s="72"/>
      <c r="AC34" s="72"/>
      <c r="AD34" s="74" t="str">
        <f aca="false">IFERROR(IF(AB34="","",AB34*AC34),"")</f>
        <v/>
      </c>
      <c r="AE34" s="72"/>
      <c r="AF34" s="72"/>
      <c r="AG34" s="74" t="str">
        <f aca="false">IFERROR(IF(AE34="","",AE34*AF34),"")</f>
        <v/>
      </c>
      <c r="AH34" s="72"/>
      <c r="AI34" s="72"/>
      <c r="AJ34" s="74" t="str">
        <f aca="false">IFERROR(IF(AH34="","",AH34*AI34),"")</f>
        <v/>
      </c>
      <c r="AK34" s="72"/>
      <c r="AL34" s="72"/>
      <c r="AM34" s="74" t="str">
        <f aca="false">IFERROR(IF(AK34="","",AK34*AL34),"")</f>
        <v/>
      </c>
      <c r="AN34" s="72"/>
    </row>
    <row r="35" customFormat="false" ht="15.75" hidden="false" customHeight="true" outlineLevel="0" collapsed="false">
      <c r="A35" s="62" t="n">
        <v>28</v>
      </c>
      <c r="B35" s="75"/>
      <c r="C35" s="76"/>
      <c r="D35" s="75"/>
      <c r="E35" s="75"/>
      <c r="F35" s="77" t="str">
        <f aca="false">IFERROR(IF(D35="","",D35*E35),"")</f>
        <v/>
      </c>
      <c r="G35" s="75"/>
      <c r="H35" s="75"/>
      <c r="I35" s="77" t="str">
        <f aca="false">IFERROR(IF(G35="","",G35*H35),"")</f>
        <v/>
      </c>
      <c r="J35" s="75"/>
      <c r="K35" s="75"/>
      <c r="L35" s="77" t="str">
        <f aca="false">IFERROR(IF(J35="","",J35*K35),"")</f>
        <v/>
      </c>
      <c r="M35" s="75"/>
      <c r="N35" s="75"/>
      <c r="O35" s="77" t="str">
        <f aca="false">IFERROR(IF(M35="","",M35*N35),"")</f>
        <v/>
      </c>
      <c r="P35" s="75"/>
      <c r="Q35" s="75"/>
      <c r="R35" s="77" t="str">
        <f aca="false">IFERROR(IF(P35="","",P35*Q35),"")</f>
        <v/>
      </c>
      <c r="S35" s="75"/>
      <c r="T35" s="75"/>
      <c r="U35" s="77" t="str">
        <f aca="false">IFERROR(IF(S35="","",S35*T35),"")</f>
        <v/>
      </c>
      <c r="V35" s="75"/>
      <c r="W35" s="75"/>
      <c r="X35" s="77" t="str">
        <f aca="false">IFERROR(IF(V35="","",V35*W35),"")</f>
        <v/>
      </c>
      <c r="Y35" s="75"/>
      <c r="Z35" s="75"/>
      <c r="AA35" s="77" t="str">
        <f aca="false">IFERROR(IF(Y35="","",Y35*Z35),"")</f>
        <v/>
      </c>
      <c r="AB35" s="75"/>
      <c r="AC35" s="75"/>
      <c r="AD35" s="77" t="str">
        <f aca="false">IFERROR(IF(AB35="","",AB35*AC35),"")</f>
        <v/>
      </c>
      <c r="AE35" s="75"/>
      <c r="AF35" s="75"/>
      <c r="AG35" s="77" t="str">
        <f aca="false">IFERROR(IF(AE35="","",AE35*AF35),"")</f>
        <v/>
      </c>
      <c r="AH35" s="75"/>
      <c r="AI35" s="75"/>
      <c r="AJ35" s="77" t="str">
        <f aca="false">IFERROR(IF(AH35="","",AH35*AI35),"")</f>
        <v/>
      </c>
      <c r="AK35" s="75"/>
      <c r="AL35" s="75"/>
      <c r="AM35" s="77" t="str">
        <f aca="false">IFERROR(IF(AK35="","",AK35*AL35),"")</f>
        <v/>
      </c>
      <c r="AN35" s="75"/>
    </row>
    <row r="36" customFormat="false" ht="15.75" hidden="false" customHeight="true" outlineLevel="0" collapsed="false">
      <c r="A36" s="60" t="n">
        <v>29</v>
      </c>
      <c r="B36" s="72"/>
      <c r="C36" s="73"/>
      <c r="D36" s="72"/>
      <c r="E36" s="72"/>
      <c r="F36" s="74" t="str">
        <f aca="false">IFERROR(IF(D36="","",D36*E36),"")</f>
        <v/>
      </c>
      <c r="G36" s="72"/>
      <c r="H36" s="72"/>
      <c r="I36" s="74" t="str">
        <f aca="false">IFERROR(IF(G36="","",G36*H36),"")</f>
        <v/>
      </c>
      <c r="J36" s="72"/>
      <c r="K36" s="72"/>
      <c r="L36" s="74" t="str">
        <f aca="false">IFERROR(IF(J36="","",J36*K36),"")</f>
        <v/>
      </c>
      <c r="M36" s="72"/>
      <c r="N36" s="72"/>
      <c r="O36" s="74" t="str">
        <f aca="false">IFERROR(IF(M36="","",M36*N36),"")</f>
        <v/>
      </c>
      <c r="P36" s="72"/>
      <c r="Q36" s="72"/>
      <c r="R36" s="74" t="str">
        <f aca="false">IFERROR(IF(P36="","",P36*Q36),"")</f>
        <v/>
      </c>
      <c r="S36" s="72"/>
      <c r="T36" s="72"/>
      <c r="U36" s="74" t="str">
        <f aca="false">IFERROR(IF(S36="","",S36*T36),"")</f>
        <v/>
      </c>
      <c r="V36" s="72"/>
      <c r="W36" s="72"/>
      <c r="X36" s="74" t="str">
        <f aca="false">IFERROR(IF(V36="","",V36*W36),"")</f>
        <v/>
      </c>
      <c r="Y36" s="72"/>
      <c r="Z36" s="72"/>
      <c r="AA36" s="74" t="str">
        <f aca="false">IFERROR(IF(Y36="","",Y36*Z36),"")</f>
        <v/>
      </c>
      <c r="AB36" s="72"/>
      <c r="AC36" s="72"/>
      <c r="AD36" s="74" t="str">
        <f aca="false">IFERROR(IF(AB36="","",AB36*AC36),"")</f>
        <v/>
      </c>
      <c r="AE36" s="72"/>
      <c r="AF36" s="72"/>
      <c r="AG36" s="74" t="str">
        <f aca="false">IFERROR(IF(AE36="","",AE36*AF36),"")</f>
        <v/>
      </c>
      <c r="AH36" s="72"/>
      <c r="AI36" s="72"/>
      <c r="AJ36" s="74" t="str">
        <f aca="false">IFERROR(IF(AH36="","",AH36*AI36),"")</f>
        <v/>
      </c>
      <c r="AK36" s="72"/>
      <c r="AL36" s="72"/>
      <c r="AM36" s="74" t="str">
        <f aca="false">IFERROR(IF(AK36="","",AK36*AL36),"")</f>
        <v/>
      </c>
      <c r="AN36" s="72"/>
    </row>
    <row r="37" customFormat="false" ht="15.75" hidden="false" customHeight="true" outlineLevel="0" collapsed="false">
      <c r="A37" s="62" t="n">
        <v>30</v>
      </c>
      <c r="B37" s="75"/>
      <c r="C37" s="76"/>
      <c r="D37" s="75"/>
      <c r="E37" s="75"/>
      <c r="F37" s="77" t="str">
        <f aca="false">IFERROR(IF(D37="","",D37*E37),"")</f>
        <v/>
      </c>
      <c r="G37" s="75"/>
      <c r="H37" s="75"/>
      <c r="I37" s="77" t="str">
        <f aca="false">IFERROR(IF(G37="","",G37*H37),"")</f>
        <v/>
      </c>
      <c r="J37" s="75"/>
      <c r="K37" s="75"/>
      <c r="L37" s="77" t="str">
        <f aca="false">IFERROR(IF(J37="","",J37*K37),"")</f>
        <v/>
      </c>
      <c r="M37" s="75"/>
      <c r="N37" s="75"/>
      <c r="O37" s="77" t="str">
        <f aca="false">IFERROR(IF(M37="","",M37*N37),"")</f>
        <v/>
      </c>
      <c r="P37" s="75"/>
      <c r="Q37" s="75"/>
      <c r="R37" s="77" t="str">
        <f aca="false">IFERROR(IF(P37="","",P37*Q37),"")</f>
        <v/>
      </c>
      <c r="S37" s="75"/>
      <c r="T37" s="75"/>
      <c r="U37" s="77" t="str">
        <f aca="false">IFERROR(IF(S37="","",S37*T37),"")</f>
        <v/>
      </c>
      <c r="V37" s="75"/>
      <c r="W37" s="75"/>
      <c r="X37" s="77" t="str">
        <f aca="false">IFERROR(IF(V37="","",V37*W37),"")</f>
        <v/>
      </c>
      <c r="Y37" s="75"/>
      <c r="Z37" s="75"/>
      <c r="AA37" s="77" t="str">
        <f aca="false">IFERROR(IF(Y37="","",Y37*Z37),"")</f>
        <v/>
      </c>
      <c r="AB37" s="75"/>
      <c r="AC37" s="75"/>
      <c r="AD37" s="77" t="str">
        <f aca="false">IFERROR(IF(AB37="","",AB37*AC37),"")</f>
        <v/>
      </c>
      <c r="AE37" s="75"/>
      <c r="AF37" s="75"/>
      <c r="AG37" s="77" t="str">
        <f aca="false">IFERROR(IF(AE37="","",AE37*AF37),"")</f>
        <v/>
      </c>
      <c r="AH37" s="75"/>
      <c r="AI37" s="75"/>
      <c r="AJ37" s="77" t="str">
        <f aca="false">IFERROR(IF(AH37="","",AH37*AI37),"")</f>
        <v/>
      </c>
      <c r="AK37" s="75"/>
      <c r="AL37" s="75"/>
      <c r="AM37" s="77" t="str">
        <f aca="false">IFERROR(IF(AK37="","",AK37*AL37),"")</f>
        <v/>
      </c>
      <c r="AN37" s="75"/>
    </row>
    <row r="38" customFormat="false" ht="15.75" hidden="false" customHeight="true" outlineLevel="0" collapsed="false">
      <c r="A38" s="60" t="n">
        <v>31</v>
      </c>
      <c r="B38" s="72"/>
      <c r="C38" s="73"/>
      <c r="D38" s="72"/>
      <c r="E38" s="72"/>
      <c r="F38" s="74" t="str">
        <f aca="false">IFERROR(IF(D38="","",D38*E38),"")</f>
        <v/>
      </c>
      <c r="G38" s="72"/>
      <c r="H38" s="72"/>
      <c r="I38" s="74" t="str">
        <f aca="false">IFERROR(IF(G38="","",G38*H38),"")</f>
        <v/>
      </c>
      <c r="J38" s="72"/>
      <c r="K38" s="72"/>
      <c r="L38" s="74" t="str">
        <f aca="false">IFERROR(IF(J38="","",J38*K38),"")</f>
        <v/>
      </c>
      <c r="M38" s="72"/>
      <c r="N38" s="72"/>
      <c r="O38" s="74" t="str">
        <f aca="false">IFERROR(IF(M38="","",M38*N38),"")</f>
        <v/>
      </c>
      <c r="P38" s="72"/>
      <c r="Q38" s="72"/>
      <c r="R38" s="74" t="str">
        <f aca="false">IFERROR(IF(P38="","",P38*Q38),"")</f>
        <v/>
      </c>
      <c r="S38" s="72"/>
      <c r="T38" s="72"/>
      <c r="U38" s="74" t="str">
        <f aca="false">IFERROR(IF(S38="","",S38*T38),"")</f>
        <v/>
      </c>
      <c r="V38" s="72"/>
      <c r="W38" s="72"/>
      <c r="X38" s="74" t="str">
        <f aca="false">IFERROR(IF(V38="","",V38*W38),"")</f>
        <v/>
      </c>
      <c r="Y38" s="72"/>
      <c r="Z38" s="72"/>
      <c r="AA38" s="74" t="str">
        <f aca="false">IFERROR(IF(Y38="","",Y38*Z38),"")</f>
        <v/>
      </c>
      <c r="AB38" s="72"/>
      <c r="AC38" s="72"/>
      <c r="AD38" s="74" t="str">
        <f aca="false">IFERROR(IF(AB38="","",AB38*AC38),"")</f>
        <v/>
      </c>
      <c r="AE38" s="72"/>
      <c r="AF38" s="72"/>
      <c r="AG38" s="74" t="str">
        <f aca="false">IFERROR(IF(AE38="","",AE38*AF38),"")</f>
        <v/>
      </c>
      <c r="AH38" s="72"/>
      <c r="AI38" s="72"/>
      <c r="AJ38" s="74" t="str">
        <f aca="false">IFERROR(IF(AH38="","",AH38*AI38),"")</f>
        <v/>
      </c>
      <c r="AK38" s="72"/>
      <c r="AL38" s="72"/>
      <c r="AM38" s="74" t="str">
        <f aca="false">IFERROR(IF(AK38="","",AK38*AL38),"")</f>
        <v/>
      </c>
      <c r="AN38" s="72"/>
    </row>
    <row r="39" customFormat="false" ht="15.75" hidden="false" customHeight="true" outlineLevel="0" collapsed="false">
      <c r="A39" s="62" t="n">
        <v>32</v>
      </c>
      <c r="B39" s="75"/>
      <c r="C39" s="76"/>
      <c r="D39" s="75"/>
      <c r="E39" s="75"/>
      <c r="F39" s="77" t="str">
        <f aca="false">IFERROR(IF(D39="","",D39*E39),"")</f>
        <v/>
      </c>
      <c r="G39" s="75"/>
      <c r="H39" s="75"/>
      <c r="I39" s="77" t="str">
        <f aca="false">IFERROR(IF(G39="","",G39*H39),"")</f>
        <v/>
      </c>
      <c r="J39" s="75"/>
      <c r="K39" s="75"/>
      <c r="L39" s="77" t="str">
        <f aca="false">IFERROR(IF(J39="","",J39*K39),"")</f>
        <v/>
      </c>
      <c r="M39" s="75"/>
      <c r="N39" s="75"/>
      <c r="O39" s="77" t="str">
        <f aca="false">IFERROR(IF(M39="","",M39*N39),"")</f>
        <v/>
      </c>
      <c r="P39" s="75"/>
      <c r="Q39" s="75"/>
      <c r="R39" s="77" t="str">
        <f aca="false">IFERROR(IF(P39="","",P39*Q39),"")</f>
        <v/>
      </c>
      <c r="S39" s="75"/>
      <c r="T39" s="75"/>
      <c r="U39" s="77" t="str">
        <f aca="false">IFERROR(IF(S39="","",S39*T39),"")</f>
        <v/>
      </c>
      <c r="V39" s="75"/>
      <c r="W39" s="75"/>
      <c r="X39" s="77" t="str">
        <f aca="false">IFERROR(IF(V39="","",V39*W39),"")</f>
        <v/>
      </c>
      <c r="Y39" s="75"/>
      <c r="Z39" s="75"/>
      <c r="AA39" s="77" t="str">
        <f aca="false">IFERROR(IF(Y39="","",Y39*Z39),"")</f>
        <v/>
      </c>
      <c r="AB39" s="75"/>
      <c r="AC39" s="75"/>
      <c r="AD39" s="77" t="str">
        <f aca="false">IFERROR(IF(AB39="","",AB39*AC39),"")</f>
        <v/>
      </c>
      <c r="AE39" s="75"/>
      <c r="AF39" s="75"/>
      <c r="AG39" s="77" t="str">
        <f aca="false">IFERROR(IF(AE39="","",AE39*AF39),"")</f>
        <v/>
      </c>
      <c r="AH39" s="75"/>
      <c r="AI39" s="75"/>
      <c r="AJ39" s="77" t="str">
        <f aca="false">IFERROR(IF(AH39="","",AH39*AI39),"")</f>
        <v/>
      </c>
      <c r="AK39" s="75"/>
      <c r="AL39" s="75"/>
      <c r="AM39" s="77" t="str">
        <f aca="false">IFERROR(IF(AK39="","",AK39*AL39),"")</f>
        <v/>
      </c>
      <c r="AN39" s="75"/>
    </row>
    <row r="40" customFormat="false" ht="15.75" hidden="false" customHeight="true" outlineLevel="0" collapsed="false">
      <c r="A40" s="60" t="n">
        <v>33</v>
      </c>
      <c r="B40" s="72"/>
      <c r="C40" s="73"/>
      <c r="D40" s="72"/>
      <c r="E40" s="72"/>
      <c r="F40" s="74" t="str">
        <f aca="false">IFERROR(IF(D40="","",D40*E40),"")</f>
        <v/>
      </c>
      <c r="G40" s="72"/>
      <c r="H40" s="72"/>
      <c r="I40" s="74" t="str">
        <f aca="false">IFERROR(IF(G40="","",G40*H40),"")</f>
        <v/>
      </c>
      <c r="J40" s="72"/>
      <c r="K40" s="72"/>
      <c r="L40" s="74" t="str">
        <f aca="false">IFERROR(IF(J40="","",J40*K40),"")</f>
        <v/>
      </c>
      <c r="M40" s="72"/>
      <c r="N40" s="72"/>
      <c r="O40" s="74" t="str">
        <f aca="false">IFERROR(IF(M40="","",M40*N40),"")</f>
        <v/>
      </c>
      <c r="P40" s="72"/>
      <c r="Q40" s="72"/>
      <c r="R40" s="74" t="str">
        <f aca="false">IFERROR(IF(P40="","",P40*Q40),"")</f>
        <v/>
      </c>
      <c r="S40" s="72"/>
      <c r="T40" s="72"/>
      <c r="U40" s="74" t="str">
        <f aca="false">IFERROR(IF(S40="","",S40*T40),"")</f>
        <v/>
      </c>
      <c r="V40" s="72"/>
      <c r="W40" s="72"/>
      <c r="X40" s="74" t="str">
        <f aca="false">IFERROR(IF(V40="","",V40*W40),"")</f>
        <v/>
      </c>
      <c r="Y40" s="72"/>
      <c r="Z40" s="72"/>
      <c r="AA40" s="74" t="str">
        <f aca="false">IFERROR(IF(Y40="","",Y40*Z40),"")</f>
        <v/>
      </c>
      <c r="AB40" s="72"/>
      <c r="AC40" s="72"/>
      <c r="AD40" s="74" t="str">
        <f aca="false">IFERROR(IF(AB40="","",AB40*AC40),"")</f>
        <v/>
      </c>
      <c r="AE40" s="72"/>
      <c r="AF40" s="72"/>
      <c r="AG40" s="74" t="str">
        <f aca="false">IFERROR(IF(AE40="","",AE40*AF40),"")</f>
        <v/>
      </c>
      <c r="AH40" s="72"/>
      <c r="AI40" s="72"/>
      <c r="AJ40" s="74" t="str">
        <f aca="false">IFERROR(IF(AH40="","",AH40*AI40),"")</f>
        <v/>
      </c>
      <c r="AK40" s="72"/>
      <c r="AL40" s="72"/>
      <c r="AM40" s="74" t="str">
        <f aca="false">IFERROR(IF(AK40="","",AK40*AL40),"")</f>
        <v/>
      </c>
      <c r="AN40" s="72"/>
    </row>
    <row r="41" customFormat="false" ht="15.75" hidden="false" customHeight="true" outlineLevel="0" collapsed="false">
      <c r="A41" s="62" t="n">
        <v>34</v>
      </c>
      <c r="B41" s="75"/>
      <c r="C41" s="76"/>
      <c r="D41" s="75"/>
      <c r="E41" s="75"/>
      <c r="F41" s="77" t="str">
        <f aca="false">IFERROR(IF(D41="","",D41*E41),"")</f>
        <v/>
      </c>
      <c r="G41" s="75"/>
      <c r="H41" s="75"/>
      <c r="I41" s="77" t="str">
        <f aca="false">IFERROR(IF(G41="","",G41*H41),"")</f>
        <v/>
      </c>
      <c r="J41" s="75"/>
      <c r="K41" s="75"/>
      <c r="L41" s="77" t="str">
        <f aca="false">IFERROR(IF(J41="","",J41*K41),"")</f>
        <v/>
      </c>
      <c r="M41" s="75"/>
      <c r="N41" s="75"/>
      <c r="O41" s="77" t="str">
        <f aca="false">IFERROR(IF(M41="","",M41*N41),"")</f>
        <v/>
      </c>
      <c r="P41" s="75"/>
      <c r="Q41" s="75"/>
      <c r="R41" s="77" t="str">
        <f aca="false">IFERROR(IF(P41="","",P41*Q41),"")</f>
        <v/>
      </c>
      <c r="S41" s="75"/>
      <c r="T41" s="75"/>
      <c r="U41" s="77" t="str">
        <f aca="false">IFERROR(IF(S41="","",S41*T41),"")</f>
        <v/>
      </c>
      <c r="V41" s="75"/>
      <c r="W41" s="75"/>
      <c r="X41" s="77" t="str">
        <f aca="false">IFERROR(IF(V41="","",V41*W41),"")</f>
        <v/>
      </c>
      <c r="Y41" s="75"/>
      <c r="Z41" s="75"/>
      <c r="AA41" s="77" t="str">
        <f aca="false">IFERROR(IF(Y41="","",Y41*Z41),"")</f>
        <v/>
      </c>
      <c r="AB41" s="75"/>
      <c r="AC41" s="75"/>
      <c r="AD41" s="77" t="str">
        <f aca="false">IFERROR(IF(AB41="","",AB41*AC41),"")</f>
        <v/>
      </c>
      <c r="AE41" s="75"/>
      <c r="AF41" s="75"/>
      <c r="AG41" s="77" t="str">
        <f aca="false">IFERROR(IF(AE41="","",AE41*AF41),"")</f>
        <v/>
      </c>
      <c r="AH41" s="75"/>
      <c r="AI41" s="75"/>
      <c r="AJ41" s="77" t="str">
        <f aca="false">IFERROR(IF(AH41="","",AH41*AI41),"")</f>
        <v/>
      </c>
      <c r="AK41" s="75"/>
      <c r="AL41" s="75"/>
      <c r="AM41" s="77" t="str">
        <f aca="false">IFERROR(IF(AK41="","",AK41*AL41),"")</f>
        <v/>
      </c>
      <c r="AN41" s="75"/>
    </row>
    <row r="42" customFormat="false" ht="15.75" hidden="false" customHeight="true" outlineLevel="0" collapsed="false">
      <c r="A42" s="60" t="n">
        <v>35</v>
      </c>
      <c r="B42" s="72"/>
      <c r="C42" s="73"/>
      <c r="D42" s="72"/>
      <c r="E42" s="72"/>
      <c r="F42" s="74" t="str">
        <f aca="false">IFERROR(IF(D42="","",D42*E42),"")</f>
        <v/>
      </c>
      <c r="G42" s="72"/>
      <c r="H42" s="72"/>
      <c r="I42" s="74" t="str">
        <f aca="false">IFERROR(IF(G42="","",G42*H42),"")</f>
        <v/>
      </c>
      <c r="J42" s="72"/>
      <c r="K42" s="72"/>
      <c r="L42" s="74" t="str">
        <f aca="false">IFERROR(IF(J42="","",J42*K42),"")</f>
        <v/>
      </c>
      <c r="M42" s="72"/>
      <c r="N42" s="72"/>
      <c r="O42" s="74" t="str">
        <f aca="false">IFERROR(IF(M42="","",M42*N42),"")</f>
        <v/>
      </c>
      <c r="P42" s="72"/>
      <c r="Q42" s="72"/>
      <c r="R42" s="74" t="str">
        <f aca="false">IFERROR(IF(P42="","",P42*Q42),"")</f>
        <v/>
      </c>
      <c r="S42" s="72"/>
      <c r="T42" s="72"/>
      <c r="U42" s="74" t="str">
        <f aca="false">IFERROR(IF(S42="","",S42*T42),"")</f>
        <v/>
      </c>
      <c r="V42" s="72"/>
      <c r="W42" s="72"/>
      <c r="X42" s="74" t="str">
        <f aca="false">IFERROR(IF(V42="","",V42*W42),"")</f>
        <v/>
      </c>
      <c r="Y42" s="72"/>
      <c r="Z42" s="72"/>
      <c r="AA42" s="74" t="str">
        <f aca="false">IFERROR(IF(Y42="","",Y42*Z42),"")</f>
        <v/>
      </c>
      <c r="AB42" s="72"/>
      <c r="AC42" s="72"/>
      <c r="AD42" s="74" t="str">
        <f aca="false">IFERROR(IF(AB42="","",AB42*AC42),"")</f>
        <v/>
      </c>
      <c r="AE42" s="72"/>
      <c r="AF42" s="72"/>
      <c r="AG42" s="74" t="str">
        <f aca="false">IFERROR(IF(AE42="","",AE42*AF42),"")</f>
        <v/>
      </c>
      <c r="AH42" s="72"/>
      <c r="AI42" s="72"/>
      <c r="AJ42" s="74" t="str">
        <f aca="false">IFERROR(IF(AH42="","",AH42*AI42),"")</f>
        <v/>
      </c>
      <c r="AK42" s="72"/>
      <c r="AL42" s="72"/>
      <c r="AM42" s="74" t="str">
        <f aca="false">IFERROR(IF(AK42="","",AK42*AL42),"")</f>
        <v/>
      </c>
      <c r="AN42" s="72"/>
    </row>
    <row r="43" customFormat="false" ht="15.75" hidden="false" customHeight="true" outlineLevel="0" collapsed="false">
      <c r="A43" s="62" t="n">
        <v>36</v>
      </c>
      <c r="B43" s="75"/>
      <c r="C43" s="76"/>
      <c r="D43" s="75"/>
      <c r="E43" s="75"/>
      <c r="F43" s="77" t="str">
        <f aca="false">IFERROR(IF(D43="","",D43*E43),"")</f>
        <v/>
      </c>
      <c r="G43" s="75"/>
      <c r="H43" s="75"/>
      <c r="I43" s="77" t="str">
        <f aca="false">IFERROR(IF(G43="","",G43*H43),"")</f>
        <v/>
      </c>
      <c r="J43" s="75"/>
      <c r="K43" s="75"/>
      <c r="L43" s="77" t="str">
        <f aca="false">IFERROR(IF(J43="","",J43*K43),"")</f>
        <v/>
      </c>
      <c r="M43" s="75"/>
      <c r="N43" s="75"/>
      <c r="O43" s="77" t="str">
        <f aca="false">IFERROR(IF(M43="","",M43*N43),"")</f>
        <v/>
      </c>
      <c r="P43" s="75"/>
      <c r="Q43" s="75"/>
      <c r="R43" s="77" t="str">
        <f aca="false">IFERROR(IF(P43="","",P43*Q43),"")</f>
        <v/>
      </c>
      <c r="S43" s="75"/>
      <c r="T43" s="75"/>
      <c r="U43" s="77" t="str">
        <f aca="false">IFERROR(IF(S43="","",S43*T43),"")</f>
        <v/>
      </c>
      <c r="V43" s="75"/>
      <c r="W43" s="75"/>
      <c r="X43" s="77" t="str">
        <f aca="false">IFERROR(IF(V43="","",V43*W43),"")</f>
        <v/>
      </c>
      <c r="Y43" s="75"/>
      <c r="Z43" s="75"/>
      <c r="AA43" s="77" t="str">
        <f aca="false">IFERROR(IF(Y43="","",Y43*Z43),"")</f>
        <v/>
      </c>
      <c r="AB43" s="75"/>
      <c r="AC43" s="75"/>
      <c r="AD43" s="77" t="str">
        <f aca="false">IFERROR(IF(AB43="","",AB43*AC43),"")</f>
        <v/>
      </c>
      <c r="AE43" s="75"/>
      <c r="AF43" s="75"/>
      <c r="AG43" s="77" t="str">
        <f aca="false">IFERROR(IF(AE43="","",AE43*AF43),"")</f>
        <v/>
      </c>
      <c r="AH43" s="75"/>
      <c r="AI43" s="75"/>
      <c r="AJ43" s="77" t="str">
        <f aca="false">IFERROR(IF(AH43="","",AH43*AI43),"")</f>
        <v/>
      </c>
      <c r="AK43" s="75"/>
      <c r="AL43" s="75"/>
      <c r="AM43" s="77" t="str">
        <f aca="false">IFERROR(IF(AK43="","",AK43*AL43),"")</f>
        <v/>
      </c>
      <c r="AN43" s="75"/>
    </row>
    <row r="44" customFormat="false" ht="15.75" hidden="false" customHeight="true" outlineLevel="0" collapsed="false">
      <c r="A44" s="60" t="n">
        <v>37</v>
      </c>
      <c r="B44" s="72"/>
      <c r="C44" s="73"/>
      <c r="D44" s="72"/>
      <c r="E44" s="72"/>
      <c r="F44" s="74" t="str">
        <f aca="false">IFERROR(IF(D44="","",D44*E44),"")</f>
        <v/>
      </c>
      <c r="G44" s="72"/>
      <c r="H44" s="72"/>
      <c r="I44" s="74" t="str">
        <f aca="false">IFERROR(IF(G44="","",G44*H44),"")</f>
        <v/>
      </c>
      <c r="J44" s="72"/>
      <c r="K44" s="72"/>
      <c r="L44" s="74" t="str">
        <f aca="false">IFERROR(IF(J44="","",J44*K44),"")</f>
        <v/>
      </c>
      <c r="M44" s="72"/>
      <c r="N44" s="72"/>
      <c r="O44" s="74" t="str">
        <f aca="false">IFERROR(IF(M44="","",M44*N44),"")</f>
        <v/>
      </c>
      <c r="P44" s="72"/>
      <c r="Q44" s="72"/>
      <c r="R44" s="74" t="str">
        <f aca="false">IFERROR(IF(P44="","",P44*Q44),"")</f>
        <v/>
      </c>
      <c r="S44" s="72"/>
      <c r="T44" s="72"/>
      <c r="U44" s="74" t="str">
        <f aca="false">IFERROR(IF(S44="","",S44*T44),"")</f>
        <v/>
      </c>
      <c r="V44" s="72"/>
      <c r="W44" s="72"/>
      <c r="X44" s="74" t="str">
        <f aca="false">IFERROR(IF(V44="","",V44*W44),"")</f>
        <v/>
      </c>
      <c r="Y44" s="72"/>
      <c r="Z44" s="72"/>
      <c r="AA44" s="74" t="str">
        <f aca="false">IFERROR(IF(Y44="","",Y44*Z44),"")</f>
        <v/>
      </c>
      <c r="AB44" s="72"/>
      <c r="AC44" s="72"/>
      <c r="AD44" s="74" t="str">
        <f aca="false">IFERROR(IF(AB44="","",AB44*AC44),"")</f>
        <v/>
      </c>
      <c r="AE44" s="72"/>
      <c r="AF44" s="72"/>
      <c r="AG44" s="74" t="str">
        <f aca="false">IFERROR(IF(AE44="","",AE44*AF44),"")</f>
        <v/>
      </c>
      <c r="AH44" s="72"/>
      <c r="AI44" s="72"/>
      <c r="AJ44" s="74" t="str">
        <f aca="false">IFERROR(IF(AH44="","",AH44*AI44),"")</f>
        <v/>
      </c>
      <c r="AK44" s="72"/>
      <c r="AL44" s="72"/>
      <c r="AM44" s="74" t="str">
        <f aca="false">IFERROR(IF(AK44="","",AK44*AL44),"")</f>
        <v/>
      </c>
      <c r="AN44" s="72"/>
    </row>
    <row r="45" customFormat="false" ht="15.75" hidden="false" customHeight="true" outlineLevel="0" collapsed="false">
      <c r="A45" s="62" t="n">
        <v>38</v>
      </c>
      <c r="B45" s="75"/>
      <c r="C45" s="76"/>
      <c r="D45" s="75"/>
      <c r="E45" s="75"/>
      <c r="F45" s="77" t="str">
        <f aca="false">IFERROR(IF(D45="","",D45*E45),"")</f>
        <v/>
      </c>
      <c r="G45" s="75"/>
      <c r="H45" s="75"/>
      <c r="I45" s="77" t="str">
        <f aca="false">IFERROR(IF(G45="","",G45*H45),"")</f>
        <v/>
      </c>
      <c r="J45" s="75"/>
      <c r="K45" s="75"/>
      <c r="L45" s="77" t="str">
        <f aca="false">IFERROR(IF(J45="","",J45*K45),"")</f>
        <v/>
      </c>
      <c r="M45" s="75"/>
      <c r="N45" s="75"/>
      <c r="O45" s="77" t="str">
        <f aca="false">IFERROR(IF(M45="","",M45*N45),"")</f>
        <v/>
      </c>
      <c r="P45" s="75"/>
      <c r="Q45" s="75"/>
      <c r="R45" s="77" t="str">
        <f aca="false">IFERROR(IF(P45="","",P45*Q45),"")</f>
        <v/>
      </c>
      <c r="S45" s="75"/>
      <c r="T45" s="75"/>
      <c r="U45" s="77" t="str">
        <f aca="false">IFERROR(IF(S45="","",S45*T45),"")</f>
        <v/>
      </c>
      <c r="V45" s="75"/>
      <c r="W45" s="75"/>
      <c r="X45" s="77" t="str">
        <f aca="false">IFERROR(IF(V45="","",V45*W45),"")</f>
        <v/>
      </c>
      <c r="Y45" s="75"/>
      <c r="Z45" s="75"/>
      <c r="AA45" s="77" t="str">
        <f aca="false">IFERROR(IF(Y45="","",Y45*Z45),"")</f>
        <v/>
      </c>
      <c r="AB45" s="75"/>
      <c r="AC45" s="75"/>
      <c r="AD45" s="77" t="str">
        <f aca="false">IFERROR(IF(AB45="","",AB45*AC45),"")</f>
        <v/>
      </c>
      <c r="AE45" s="75"/>
      <c r="AF45" s="75"/>
      <c r="AG45" s="77" t="str">
        <f aca="false">IFERROR(IF(AE45="","",AE45*AF45),"")</f>
        <v/>
      </c>
      <c r="AH45" s="75"/>
      <c r="AI45" s="75"/>
      <c r="AJ45" s="77" t="str">
        <f aca="false">IFERROR(IF(AH45="","",AH45*AI45),"")</f>
        <v/>
      </c>
      <c r="AK45" s="75"/>
      <c r="AL45" s="75"/>
      <c r="AM45" s="77" t="str">
        <f aca="false">IFERROR(IF(AK45="","",AK45*AL45),"")</f>
        <v/>
      </c>
      <c r="AN45" s="75"/>
    </row>
    <row r="46" customFormat="false" ht="15.75" hidden="false" customHeight="true" outlineLevel="0" collapsed="false">
      <c r="A46" s="60" t="n">
        <v>39</v>
      </c>
      <c r="B46" s="72"/>
      <c r="C46" s="73"/>
      <c r="D46" s="72"/>
      <c r="E46" s="72"/>
      <c r="F46" s="74" t="str">
        <f aca="false">IFERROR(IF(D46="","",D46*E46),"")</f>
        <v/>
      </c>
      <c r="G46" s="72"/>
      <c r="H46" s="72"/>
      <c r="I46" s="74" t="str">
        <f aca="false">IFERROR(IF(G46="","",G46*H46),"")</f>
        <v/>
      </c>
      <c r="J46" s="72"/>
      <c r="K46" s="72"/>
      <c r="L46" s="74" t="str">
        <f aca="false">IFERROR(IF(J46="","",J46*K46),"")</f>
        <v/>
      </c>
      <c r="M46" s="72"/>
      <c r="N46" s="72"/>
      <c r="O46" s="74" t="str">
        <f aca="false">IFERROR(IF(M46="","",M46*N46),"")</f>
        <v/>
      </c>
      <c r="P46" s="72"/>
      <c r="Q46" s="72"/>
      <c r="R46" s="74" t="str">
        <f aca="false">IFERROR(IF(P46="","",P46*Q46),"")</f>
        <v/>
      </c>
      <c r="S46" s="72"/>
      <c r="T46" s="72"/>
      <c r="U46" s="74" t="str">
        <f aca="false">IFERROR(IF(S46="","",S46*T46),"")</f>
        <v/>
      </c>
      <c r="V46" s="72"/>
      <c r="W46" s="72"/>
      <c r="X46" s="74" t="str">
        <f aca="false">IFERROR(IF(V46="","",V46*W46),"")</f>
        <v/>
      </c>
      <c r="Y46" s="72"/>
      <c r="Z46" s="72"/>
      <c r="AA46" s="74" t="str">
        <f aca="false">IFERROR(IF(Y46="","",Y46*Z46),"")</f>
        <v/>
      </c>
      <c r="AB46" s="72"/>
      <c r="AC46" s="72"/>
      <c r="AD46" s="74" t="str">
        <f aca="false">IFERROR(IF(AB46="","",AB46*AC46),"")</f>
        <v/>
      </c>
      <c r="AE46" s="72"/>
      <c r="AF46" s="72"/>
      <c r="AG46" s="74" t="str">
        <f aca="false">IFERROR(IF(AE46="","",AE46*AF46),"")</f>
        <v/>
      </c>
      <c r="AH46" s="72"/>
      <c r="AI46" s="72"/>
      <c r="AJ46" s="74" t="str">
        <f aca="false">IFERROR(IF(AH46="","",AH46*AI46),"")</f>
        <v/>
      </c>
      <c r="AK46" s="72"/>
      <c r="AL46" s="72"/>
      <c r="AM46" s="74" t="str">
        <f aca="false">IFERROR(IF(AK46="","",AK46*AL46),"")</f>
        <v/>
      </c>
      <c r="AN46" s="72"/>
    </row>
    <row r="47" customFormat="false" ht="15.75" hidden="false" customHeight="true" outlineLevel="0" collapsed="false">
      <c r="A47" s="62" t="n">
        <v>40</v>
      </c>
      <c r="B47" s="75"/>
      <c r="C47" s="76"/>
      <c r="D47" s="75"/>
      <c r="E47" s="75"/>
      <c r="F47" s="77" t="str">
        <f aca="false">IFERROR(IF(D47="","",D47*E47),"")</f>
        <v/>
      </c>
      <c r="G47" s="75"/>
      <c r="H47" s="75"/>
      <c r="I47" s="77" t="str">
        <f aca="false">IFERROR(IF(G47="","",G47*H47),"")</f>
        <v/>
      </c>
      <c r="J47" s="75"/>
      <c r="K47" s="75"/>
      <c r="L47" s="77" t="str">
        <f aca="false">IFERROR(IF(J47="","",J47*K47),"")</f>
        <v/>
      </c>
      <c r="M47" s="75"/>
      <c r="N47" s="75"/>
      <c r="O47" s="77" t="str">
        <f aca="false">IFERROR(IF(M47="","",M47*N47),"")</f>
        <v/>
      </c>
      <c r="P47" s="75"/>
      <c r="Q47" s="75"/>
      <c r="R47" s="77" t="str">
        <f aca="false">IFERROR(IF(P47="","",P47*Q47),"")</f>
        <v/>
      </c>
      <c r="S47" s="75"/>
      <c r="T47" s="75"/>
      <c r="U47" s="77" t="str">
        <f aca="false">IFERROR(IF(S47="","",S47*T47),"")</f>
        <v/>
      </c>
      <c r="V47" s="75"/>
      <c r="W47" s="75"/>
      <c r="X47" s="77" t="str">
        <f aca="false">IFERROR(IF(V47="","",V47*W47),"")</f>
        <v/>
      </c>
      <c r="Y47" s="75"/>
      <c r="Z47" s="75"/>
      <c r="AA47" s="77" t="str">
        <f aca="false">IFERROR(IF(Y47="","",Y47*Z47),"")</f>
        <v/>
      </c>
      <c r="AB47" s="75"/>
      <c r="AC47" s="75"/>
      <c r="AD47" s="77" t="str">
        <f aca="false">IFERROR(IF(AB47="","",AB47*AC47),"")</f>
        <v/>
      </c>
      <c r="AE47" s="75"/>
      <c r="AF47" s="75"/>
      <c r="AG47" s="77" t="str">
        <f aca="false">IFERROR(IF(AE47="","",AE47*AF47),"")</f>
        <v/>
      </c>
      <c r="AH47" s="75"/>
      <c r="AI47" s="75"/>
      <c r="AJ47" s="77" t="str">
        <f aca="false">IFERROR(IF(AH47="","",AH47*AI47),"")</f>
        <v/>
      </c>
      <c r="AK47" s="75"/>
      <c r="AL47" s="75"/>
      <c r="AM47" s="77" t="str">
        <f aca="false">IFERROR(IF(AK47="","",AK47*AL47),"")</f>
        <v/>
      </c>
      <c r="AN47" s="75"/>
    </row>
    <row r="48" customFormat="false" ht="15.75" hidden="false" customHeight="true" outlineLevel="0" collapsed="false">
      <c r="A48" s="60" t="n">
        <v>41</v>
      </c>
      <c r="B48" s="72"/>
      <c r="C48" s="73"/>
      <c r="D48" s="72"/>
      <c r="E48" s="72"/>
      <c r="F48" s="74" t="str">
        <f aca="false">IFERROR(IF(D48="","",D48*E48),"")</f>
        <v/>
      </c>
      <c r="G48" s="72"/>
      <c r="H48" s="72"/>
      <c r="I48" s="74" t="str">
        <f aca="false">IFERROR(IF(G48="","",G48*H48),"")</f>
        <v/>
      </c>
      <c r="J48" s="72"/>
      <c r="K48" s="72"/>
      <c r="L48" s="74" t="str">
        <f aca="false">IFERROR(IF(J48="","",J48*K48),"")</f>
        <v/>
      </c>
      <c r="M48" s="72"/>
      <c r="N48" s="72"/>
      <c r="O48" s="74" t="str">
        <f aca="false">IFERROR(IF(M48="","",M48*N48),"")</f>
        <v/>
      </c>
      <c r="P48" s="72"/>
      <c r="Q48" s="72"/>
      <c r="R48" s="74" t="str">
        <f aca="false">IFERROR(IF(P48="","",P48*Q48),"")</f>
        <v/>
      </c>
      <c r="S48" s="72"/>
      <c r="T48" s="72"/>
      <c r="U48" s="74" t="str">
        <f aca="false">IFERROR(IF(S48="","",S48*T48),"")</f>
        <v/>
      </c>
      <c r="V48" s="72"/>
      <c r="W48" s="72"/>
      <c r="X48" s="74" t="str">
        <f aca="false">IFERROR(IF(V48="","",V48*W48),"")</f>
        <v/>
      </c>
      <c r="Y48" s="72"/>
      <c r="Z48" s="72"/>
      <c r="AA48" s="74" t="str">
        <f aca="false">IFERROR(IF(Y48="","",Y48*Z48),"")</f>
        <v/>
      </c>
      <c r="AB48" s="72"/>
      <c r="AC48" s="72"/>
      <c r="AD48" s="74" t="str">
        <f aca="false">IFERROR(IF(AB48="","",AB48*AC48),"")</f>
        <v/>
      </c>
      <c r="AE48" s="72"/>
      <c r="AF48" s="72"/>
      <c r="AG48" s="74" t="str">
        <f aca="false">IFERROR(IF(AE48="","",AE48*AF48),"")</f>
        <v/>
      </c>
      <c r="AH48" s="72"/>
      <c r="AI48" s="72"/>
      <c r="AJ48" s="74" t="str">
        <f aca="false">IFERROR(IF(AH48="","",AH48*AI48),"")</f>
        <v/>
      </c>
      <c r="AK48" s="72"/>
      <c r="AL48" s="72"/>
      <c r="AM48" s="74" t="str">
        <f aca="false">IFERROR(IF(AK48="","",AK48*AL48),"")</f>
        <v/>
      </c>
      <c r="AN48" s="72"/>
    </row>
    <row r="49" customFormat="false" ht="15.75" hidden="false" customHeight="true" outlineLevel="0" collapsed="false">
      <c r="A49" s="62" t="n">
        <v>42</v>
      </c>
      <c r="B49" s="75"/>
      <c r="C49" s="76"/>
      <c r="D49" s="75"/>
      <c r="E49" s="75"/>
      <c r="F49" s="77" t="str">
        <f aca="false">IFERROR(IF(D49="","",D49*E49),"")</f>
        <v/>
      </c>
      <c r="G49" s="75"/>
      <c r="H49" s="75"/>
      <c r="I49" s="77" t="str">
        <f aca="false">IFERROR(IF(G49="","",G49*H49),"")</f>
        <v/>
      </c>
      <c r="J49" s="75"/>
      <c r="K49" s="75"/>
      <c r="L49" s="77" t="str">
        <f aca="false">IFERROR(IF(J49="","",J49*K49),"")</f>
        <v/>
      </c>
      <c r="M49" s="75"/>
      <c r="N49" s="75"/>
      <c r="O49" s="77" t="str">
        <f aca="false">IFERROR(IF(M49="","",M49*N49),"")</f>
        <v/>
      </c>
      <c r="P49" s="75"/>
      <c r="Q49" s="75"/>
      <c r="R49" s="77" t="str">
        <f aca="false">IFERROR(IF(P49="","",P49*Q49),"")</f>
        <v/>
      </c>
      <c r="S49" s="75"/>
      <c r="T49" s="75"/>
      <c r="U49" s="77" t="str">
        <f aca="false">IFERROR(IF(S49="","",S49*T49),"")</f>
        <v/>
      </c>
      <c r="V49" s="75"/>
      <c r="W49" s="75"/>
      <c r="X49" s="77" t="str">
        <f aca="false">IFERROR(IF(V49="","",V49*W49),"")</f>
        <v/>
      </c>
      <c r="Y49" s="75"/>
      <c r="Z49" s="75"/>
      <c r="AA49" s="77" t="str">
        <f aca="false">IFERROR(IF(Y49="","",Y49*Z49),"")</f>
        <v/>
      </c>
      <c r="AB49" s="75"/>
      <c r="AC49" s="75"/>
      <c r="AD49" s="77" t="str">
        <f aca="false">IFERROR(IF(AB49="","",AB49*AC49),"")</f>
        <v/>
      </c>
      <c r="AE49" s="75"/>
      <c r="AF49" s="75"/>
      <c r="AG49" s="77" t="str">
        <f aca="false">IFERROR(IF(AE49="","",AE49*AF49),"")</f>
        <v/>
      </c>
      <c r="AH49" s="75"/>
      <c r="AI49" s="75"/>
      <c r="AJ49" s="77" t="str">
        <f aca="false">IFERROR(IF(AH49="","",AH49*AI49),"")</f>
        <v/>
      </c>
      <c r="AK49" s="75"/>
      <c r="AL49" s="75"/>
      <c r="AM49" s="77" t="str">
        <f aca="false">IFERROR(IF(AK49="","",AK49*AL49),"")</f>
        <v/>
      </c>
      <c r="AN49" s="75"/>
    </row>
    <row r="50" customFormat="false" ht="15.75" hidden="false" customHeight="true" outlineLevel="0" collapsed="false">
      <c r="A50" s="60" t="n">
        <v>43</v>
      </c>
      <c r="B50" s="72"/>
      <c r="C50" s="73"/>
      <c r="D50" s="72"/>
      <c r="E50" s="72"/>
      <c r="F50" s="74" t="str">
        <f aca="false">IFERROR(IF(D50="","",D50*E50),"")</f>
        <v/>
      </c>
      <c r="G50" s="72"/>
      <c r="H50" s="72"/>
      <c r="I50" s="74" t="str">
        <f aca="false">IFERROR(IF(G50="","",G50*H50),"")</f>
        <v/>
      </c>
      <c r="J50" s="72"/>
      <c r="K50" s="72"/>
      <c r="L50" s="74" t="str">
        <f aca="false">IFERROR(IF(J50="","",J50*K50),"")</f>
        <v/>
      </c>
      <c r="M50" s="72"/>
      <c r="N50" s="72"/>
      <c r="O50" s="74" t="str">
        <f aca="false">IFERROR(IF(M50="","",M50*N50),"")</f>
        <v/>
      </c>
      <c r="P50" s="72"/>
      <c r="Q50" s="72"/>
      <c r="R50" s="74" t="str">
        <f aca="false">IFERROR(IF(P50="","",P50*Q50),"")</f>
        <v/>
      </c>
      <c r="S50" s="72"/>
      <c r="T50" s="72"/>
      <c r="U50" s="74" t="str">
        <f aca="false">IFERROR(IF(S50="","",S50*T50),"")</f>
        <v/>
      </c>
      <c r="V50" s="72"/>
      <c r="W50" s="72"/>
      <c r="X50" s="74" t="str">
        <f aca="false">IFERROR(IF(V50="","",V50*W50),"")</f>
        <v/>
      </c>
      <c r="Y50" s="72"/>
      <c r="Z50" s="72"/>
      <c r="AA50" s="74" t="str">
        <f aca="false">IFERROR(IF(Y50="","",Y50*Z50),"")</f>
        <v/>
      </c>
      <c r="AB50" s="72"/>
      <c r="AC50" s="72"/>
      <c r="AD50" s="74" t="str">
        <f aca="false">IFERROR(IF(AB50="","",AB50*AC50),"")</f>
        <v/>
      </c>
      <c r="AE50" s="72"/>
      <c r="AF50" s="72"/>
      <c r="AG50" s="74" t="str">
        <f aca="false">IFERROR(IF(AE50="","",AE50*AF50),"")</f>
        <v/>
      </c>
      <c r="AH50" s="72"/>
      <c r="AI50" s="72"/>
      <c r="AJ50" s="74" t="str">
        <f aca="false">IFERROR(IF(AH50="","",AH50*AI50),"")</f>
        <v/>
      </c>
      <c r="AK50" s="72"/>
      <c r="AL50" s="72"/>
      <c r="AM50" s="74" t="str">
        <f aca="false">IFERROR(IF(AK50="","",AK50*AL50),"")</f>
        <v/>
      </c>
      <c r="AN50" s="72"/>
    </row>
    <row r="51" customFormat="false" ht="15.75" hidden="false" customHeight="true" outlineLevel="0" collapsed="false">
      <c r="A51" s="62" t="n">
        <v>44</v>
      </c>
      <c r="B51" s="75"/>
      <c r="C51" s="76"/>
      <c r="D51" s="75"/>
      <c r="E51" s="75"/>
      <c r="F51" s="77" t="str">
        <f aca="false">IFERROR(IF(D51="","",D51*E51),"")</f>
        <v/>
      </c>
      <c r="G51" s="75"/>
      <c r="H51" s="75"/>
      <c r="I51" s="77" t="str">
        <f aca="false">IFERROR(IF(G51="","",G51*H51),"")</f>
        <v/>
      </c>
      <c r="J51" s="75"/>
      <c r="K51" s="75"/>
      <c r="L51" s="77" t="str">
        <f aca="false">IFERROR(IF(J51="","",J51*K51),"")</f>
        <v/>
      </c>
      <c r="M51" s="75"/>
      <c r="N51" s="75"/>
      <c r="O51" s="77" t="str">
        <f aca="false">IFERROR(IF(M51="","",M51*N51),"")</f>
        <v/>
      </c>
      <c r="P51" s="75"/>
      <c r="Q51" s="75"/>
      <c r="R51" s="77" t="str">
        <f aca="false">IFERROR(IF(P51="","",P51*Q51),"")</f>
        <v/>
      </c>
      <c r="S51" s="75"/>
      <c r="T51" s="75"/>
      <c r="U51" s="77" t="str">
        <f aca="false">IFERROR(IF(S51="","",S51*T51),"")</f>
        <v/>
      </c>
      <c r="V51" s="75"/>
      <c r="W51" s="75"/>
      <c r="X51" s="77" t="str">
        <f aca="false">IFERROR(IF(V51="","",V51*W51),"")</f>
        <v/>
      </c>
      <c r="Y51" s="75"/>
      <c r="Z51" s="75"/>
      <c r="AA51" s="77" t="str">
        <f aca="false">IFERROR(IF(Y51="","",Y51*Z51),"")</f>
        <v/>
      </c>
      <c r="AB51" s="75"/>
      <c r="AC51" s="75"/>
      <c r="AD51" s="77" t="str">
        <f aca="false">IFERROR(IF(AB51="","",AB51*AC51),"")</f>
        <v/>
      </c>
      <c r="AE51" s="75"/>
      <c r="AF51" s="75"/>
      <c r="AG51" s="77" t="str">
        <f aca="false">IFERROR(IF(AE51="","",AE51*AF51),"")</f>
        <v/>
      </c>
      <c r="AH51" s="75"/>
      <c r="AI51" s="75"/>
      <c r="AJ51" s="77" t="str">
        <f aca="false">IFERROR(IF(AH51="","",AH51*AI51),"")</f>
        <v/>
      </c>
      <c r="AK51" s="75"/>
      <c r="AL51" s="75"/>
      <c r="AM51" s="77" t="str">
        <f aca="false">IFERROR(IF(AK51="","",AK51*AL51),"")</f>
        <v/>
      </c>
      <c r="AN51" s="75"/>
    </row>
    <row r="52" customFormat="false" ht="15.75" hidden="false" customHeight="true" outlineLevel="0" collapsed="false">
      <c r="A52" s="60" t="n">
        <v>45</v>
      </c>
      <c r="B52" s="72"/>
      <c r="C52" s="73"/>
      <c r="D52" s="72"/>
      <c r="E52" s="72"/>
      <c r="F52" s="74" t="str">
        <f aca="false">IFERROR(IF(D52="","",D52*E52),"")</f>
        <v/>
      </c>
      <c r="G52" s="72"/>
      <c r="H52" s="72"/>
      <c r="I52" s="74" t="str">
        <f aca="false">IFERROR(IF(G52="","",G52*H52),"")</f>
        <v/>
      </c>
      <c r="J52" s="72"/>
      <c r="K52" s="72"/>
      <c r="L52" s="74" t="str">
        <f aca="false">IFERROR(IF(J52="","",J52*K52),"")</f>
        <v/>
      </c>
      <c r="M52" s="72"/>
      <c r="N52" s="72"/>
      <c r="O52" s="74" t="str">
        <f aca="false">IFERROR(IF(M52="","",M52*N52),"")</f>
        <v/>
      </c>
      <c r="P52" s="72"/>
      <c r="Q52" s="72"/>
      <c r="R52" s="74" t="str">
        <f aca="false">IFERROR(IF(P52="","",P52*Q52),"")</f>
        <v/>
      </c>
      <c r="S52" s="72"/>
      <c r="T52" s="72"/>
      <c r="U52" s="74" t="str">
        <f aca="false">IFERROR(IF(S52="","",S52*T52),"")</f>
        <v/>
      </c>
      <c r="V52" s="72"/>
      <c r="W52" s="72"/>
      <c r="X52" s="74" t="str">
        <f aca="false">IFERROR(IF(V52="","",V52*W52),"")</f>
        <v/>
      </c>
      <c r="Y52" s="72"/>
      <c r="Z52" s="72"/>
      <c r="AA52" s="74" t="str">
        <f aca="false">IFERROR(IF(Y52="","",Y52*Z52),"")</f>
        <v/>
      </c>
      <c r="AB52" s="72"/>
      <c r="AC52" s="72"/>
      <c r="AD52" s="74" t="str">
        <f aca="false">IFERROR(IF(AB52="","",AB52*AC52),"")</f>
        <v/>
      </c>
      <c r="AE52" s="72"/>
      <c r="AF52" s="72"/>
      <c r="AG52" s="74" t="str">
        <f aca="false">IFERROR(IF(AE52="","",AE52*AF52),"")</f>
        <v/>
      </c>
      <c r="AH52" s="72"/>
      <c r="AI52" s="72"/>
      <c r="AJ52" s="74" t="str">
        <f aca="false">IFERROR(IF(AH52="","",AH52*AI52),"")</f>
        <v/>
      </c>
      <c r="AK52" s="72"/>
      <c r="AL52" s="72"/>
      <c r="AM52" s="74" t="str">
        <f aca="false">IFERROR(IF(AK52="","",AK52*AL52),"")</f>
        <v/>
      </c>
      <c r="AN52" s="72"/>
    </row>
    <row r="53" customFormat="false" ht="15.75" hidden="false" customHeight="true" outlineLevel="0" collapsed="false">
      <c r="A53" s="62" t="n">
        <v>46</v>
      </c>
      <c r="B53" s="75"/>
      <c r="C53" s="76"/>
      <c r="D53" s="75"/>
      <c r="E53" s="75"/>
      <c r="F53" s="77" t="str">
        <f aca="false">IFERROR(IF(D53="","",D53*E53),"")</f>
        <v/>
      </c>
      <c r="G53" s="75"/>
      <c r="H53" s="75"/>
      <c r="I53" s="77" t="str">
        <f aca="false">IFERROR(IF(G53="","",G53*H53),"")</f>
        <v/>
      </c>
      <c r="J53" s="75"/>
      <c r="K53" s="75"/>
      <c r="L53" s="77" t="str">
        <f aca="false">IFERROR(IF(J53="","",J53*K53),"")</f>
        <v/>
      </c>
      <c r="M53" s="75"/>
      <c r="N53" s="75"/>
      <c r="O53" s="77" t="str">
        <f aca="false">IFERROR(IF(M53="","",M53*N53),"")</f>
        <v/>
      </c>
      <c r="P53" s="75"/>
      <c r="Q53" s="75"/>
      <c r="R53" s="77" t="str">
        <f aca="false">IFERROR(IF(P53="","",P53*Q53),"")</f>
        <v/>
      </c>
      <c r="S53" s="75"/>
      <c r="T53" s="75"/>
      <c r="U53" s="77" t="str">
        <f aca="false">IFERROR(IF(S53="","",S53*T53),"")</f>
        <v/>
      </c>
      <c r="V53" s="75"/>
      <c r="W53" s="75"/>
      <c r="X53" s="77" t="str">
        <f aca="false">IFERROR(IF(V53="","",V53*W53),"")</f>
        <v/>
      </c>
      <c r="Y53" s="75"/>
      <c r="Z53" s="75"/>
      <c r="AA53" s="77" t="str">
        <f aca="false">IFERROR(IF(Y53="","",Y53*Z53),"")</f>
        <v/>
      </c>
      <c r="AB53" s="75"/>
      <c r="AC53" s="75"/>
      <c r="AD53" s="77" t="str">
        <f aca="false">IFERROR(IF(AB53="","",AB53*AC53),"")</f>
        <v/>
      </c>
      <c r="AE53" s="75"/>
      <c r="AF53" s="75"/>
      <c r="AG53" s="77" t="str">
        <f aca="false">IFERROR(IF(AE53="","",AE53*AF53),"")</f>
        <v/>
      </c>
      <c r="AH53" s="75"/>
      <c r="AI53" s="75"/>
      <c r="AJ53" s="77" t="str">
        <f aca="false">IFERROR(IF(AH53="","",AH53*AI53),"")</f>
        <v/>
      </c>
      <c r="AK53" s="75"/>
      <c r="AL53" s="75"/>
      <c r="AM53" s="77" t="str">
        <f aca="false">IFERROR(IF(AK53="","",AK53*AL53),"")</f>
        <v/>
      </c>
      <c r="AN53" s="75"/>
    </row>
    <row r="54" customFormat="false" ht="15.75" hidden="false" customHeight="true" outlineLevel="0" collapsed="false">
      <c r="A54" s="60" t="n">
        <v>47</v>
      </c>
      <c r="B54" s="72"/>
      <c r="C54" s="73"/>
      <c r="D54" s="72"/>
      <c r="E54" s="72"/>
      <c r="F54" s="74" t="str">
        <f aca="false">IFERROR(IF(D54="","",D54*E54),"")</f>
        <v/>
      </c>
      <c r="G54" s="72"/>
      <c r="H54" s="72"/>
      <c r="I54" s="74" t="str">
        <f aca="false">IFERROR(IF(G54="","",G54*H54),"")</f>
        <v/>
      </c>
      <c r="J54" s="72"/>
      <c r="K54" s="72"/>
      <c r="L54" s="74" t="str">
        <f aca="false">IFERROR(IF(J54="","",J54*K54),"")</f>
        <v/>
      </c>
      <c r="M54" s="72"/>
      <c r="N54" s="72"/>
      <c r="O54" s="74" t="str">
        <f aca="false">IFERROR(IF(M54="","",M54*N54),"")</f>
        <v/>
      </c>
      <c r="P54" s="72"/>
      <c r="Q54" s="72"/>
      <c r="R54" s="74" t="str">
        <f aca="false">IFERROR(IF(P54="","",P54*Q54),"")</f>
        <v/>
      </c>
      <c r="S54" s="72"/>
      <c r="T54" s="72"/>
      <c r="U54" s="74" t="str">
        <f aca="false">IFERROR(IF(S54="","",S54*T54),"")</f>
        <v/>
      </c>
      <c r="V54" s="72"/>
      <c r="W54" s="72"/>
      <c r="X54" s="74" t="str">
        <f aca="false">IFERROR(IF(V54="","",V54*W54),"")</f>
        <v/>
      </c>
      <c r="Y54" s="72"/>
      <c r="Z54" s="72"/>
      <c r="AA54" s="74" t="str">
        <f aca="false">IFERROR(IF(Y54="","",Y54*Z54),"")</f>
        <v/>
      </c>
      <c r="AB54" s="72"/>
      <c r="AC54" s="72"/>
      <c r="AD54" s="74" t="str">
        <f aca="false">IFERROR(IF(AB54="","",AB54*AC54),"")</f>
        <v/>
      </c>
      <c r="AE54" s="72"/>
      <c r="AF54" s="72"/>
      <c r="AG54" s="74" t="str">
        <f aca="false">IFERROR(IF(AE54="","",AE54*AF54),"")</f>
        <v/>
      </c>
      <c r="AH54" s="72"/>
      <c r="AI54" s="72"/>
      <c r="AJ54" s="74" t="str">
        <f aca="false">IFERROR(IF(AH54="","",AH54*AI54),"")</f>
        <v/>
      </c>
      <c r="AK54" s="72"/>
      <c r="AL54" s="72"/>
      <c r="AM54" s="74" t="str">
        <f aca="false">IFERROR(IF(AK54="","",AK54*AL54),"")</f>
        <v/>
      </c>
      <c r="AN54" s="72"/>
    </row>
    <row r="55" customFormat="false" ht="15.75" hidden="false" customHeight="true" outlineLevel="0" collapsed="false">
      <c r="A55" s="62" t="n">
        <v>48</v>
      </c>
      <c r="B55" s="75"/>
      <c r="C55" s="76"/>
      <c r="D55" s="75"/>
      <c r="E55" s="75"/>
      <c r="F55" s="77" t="str">
        <f aca="false">IFERROR(IF(D55="","",D55*E55),"")</f>
        <v/>
      </c>
      <c r="G55" s="75"/>
      <c r="H55" s="75"/>
      <c r="I55" s="77" t="str">
        <f aca="false">IFERROR(IF(G55="","",G55*H55),"")</f>
        <v/>
      </c>
      <c r="J55" s="75"/>
      <c r="K55" s="75"/>
      <c r="L55" s="77" t="str">
        <f aca="false">IFERROR(IF(J55="","",J55*K55),"")</f>
        <v/>
      </c>
      <c r="M55" s="75"/>
      <c r="N55" s="75"/>
      <c r="O55" s="77" t="str">
        <f aca="false">IFERROR(IF(M55="","",M55*N55),"")</f>
        <v/>
      </c>
      <c r="P55" s="75"/>
      <c r="Q55" s="75"/>
      <c r="R55" s="77" t="str">
        <f aca="false">IFERROR(IF(P55="","",P55*Q55),"")</f>
        <v/>
      </c>
      <c r="S55" s="75"/>
      <c r="T55" s="75"/>
      <c r="U55" s="77" t="str">
        <f aca="false">IFERROR(IF(S55="","",S55*T55),"")</f>
        <v/>
      </c>
      <c r="V55" s="75"/>
      <c r="W55" s="75"/>
      <c r="X55" s="77" t="str">
        <f aca="false">IFERROR(IF(V55="","",V55*W55),"")</f>
        <v/>
      </c>
      <c r="Y55" s="75"/>
      <c r="Z55" s="75"/>
      <c r="AA55" s="77" t="str">
        <f aca="false">IFERROR(IF(Y55="","",Y55*Z55),"")</f>
        <v/>
      </c>
      <c r="AB55" s="75"/>
      <c r="AC55" s="75"/>
      <c r="AD55" s="77" t="str">
        <f aca="false">IFERROR(IF(AB55="","",AB55*AC55),"")</f>
        <v/>
      </c>
      <c r="AE55" s="75"/>
      <c r="AF55" s="75"/>
      <c r="AG55" s="77" t="str">
        <f aca="false">IFERROR(IF(AE55="","",AE55*AF55),"")</f>
        <v/>
      </c>
      <c r="AH55" s="75"/>
      <c r="AI55" s="75"/>
      <c r="AJ55" s="77" t="str">
        <f aca="false">IFERROR(IF(AH55="","",AH55*AI55),"")</f>
        <v/>
      </c>
      <c r="AK55" s="75"/>
      <c r="AL55" s="75"/>
      <c r="AM55" s="77" t="str">
        <f aca="false">IFERROR(IF(AK55="","",AK55*AL55),"")</f>
        <v/>
      </c>
      <c r="AN55" s="75"/>
    </row>
    <row r="56" customFormat="false" ht="15.75" hidden="false" customHeight="true" outlineLevel="0" collapsed="false">
      <c r="A56" s="60" t="n">
        <v>49</v>
      </c>
      <c r="B56" s="72"/>
      <c r="C56" s="73"/>
      <c r="D56" s="72"/>
      <c r="E56" s="72"/>
      <c r="F56" s="74" t="str">
        <f aca="false">IFERROR(IF(D56="","",D56*E56),"")</f>
        <v/>
      </c>
      <c r="G56" s="72"/>
      <c r="H56" s="72"/>
      <c r="I56" s="74" t="str">
        <f aca="false">IFERROR(IF(G56="","",G56*H56),"")</f>
        <v/>
      </c>
      <c r="J56" s="72"/>
      <c r="K56" s="72"/>
      <c r="L56" s="74" t="str">
        <f aca="false">IFERROR(IF(J56="","",J56*K56),"")</f>
        <v/>
      </c>
      <c r="M56" s="72"/>
      <c r="N56" s="72"/>
      <c r="O56" s="74" t="str">
        <f aca="false">IFERROR(IF(M56="","",M56*N56),"")</f>
        <v/>
      </c>
      <c r="P56" s="72"/>
      <c r="Q56" s="72"/>
      <c r="R56" s="74" t="str">
        <f aca="false">IFERROR(IF(P56="","",P56*Q56),"")</f>
        <v/>
      </c>
      <c r="S56" s="72"/>
      <c r="T56" s="72"/>
      <c r="U56" s="74" t="str">
        <f aca="false">IFERROR(IF(S56="","",S56*T56),"")</f>
        <v/>
      </c>
      <c r="V56" s="72"/>
      <c r="W56" s="72"/>
      <c r="X56" s="74" t="str">
        <f aca="false">IFERROR(IF(V56="","",V56*W56),"")</f>
        <v/>
      </c>
      <c r="Y56" s="72"/>
      <c r="Z56" s="72"/>
      <c r="AA56" s="74" t="str">
        <f aca="false">IFERROR(IF(Y56="","",Y56*Z56),"")</f>
        <v/>
      </c>
      <c r="AB56" s="72"/>
      <c r="AC56" s="72"/>
      <c r="AD56" s="74" t="str">
        <f aca="false">IFERROR(IF(AB56="","",AB56*AC56),"")</f>
        <v/>
      </c>
      <c r="AE56" s="72"/>
      <c r="AF56" s="72"/>
      <c r="AG56" s="74" t="str">
        <f aca="false">IFERROR(IF(AE56="","",AE56*AF56),"")</f>
        <v/>
      </c>
      <c r="AH56" s="72"/>
      <c r="AI56" s="72"/>
      <c r="AJ56" s="74" t="str">
        <f aca="false">IFERROR(IF(AH56="","",AH56*AI56),"")</f>
        <v/>
      </c>
      <c r="AK56" s="72"/>
      <c r="AL56" s="72"/>
      <c r="AM56" s="74" t="str">
        <f aca="false">IFERROR(IF(AK56="","",AK56*AL56),"")</f>
        <v/>
      </c>
      <c r="AN56" s="72"/>
    </row>
    <row r="57" customFormat="false" ht="15.75" hidden="false" customHeight="true" outlineLevel="0" collapsed="false">
      <c r="A57" s="62" t="n">
        <v>50</v>
      </c>
      <c r="B57" s="75"/>
      <c r="C57" s="76"/>
      <c r="D57" s="75"/>
      <c r="E57" s="75"/>
      <c r="F57" s="77" t="str">
        <f aca="false">IFERROR(IF(D57="","",D57*E57),"")</f>
        <v/>
      </c>
      <c r="G57" s="75"/>
      <c r="H57" s="75"/>
      <c r="I57" s="77" t="str">
        <f aca="false">IFERROR(IF(G57="","",G57*H57),"")</f>
        <v/>
      </c>
      <c r="J57" s="75"/>
      <c r="K57" s="75"/>
      <c r="L57" s="77" t="str">
        <f aca="false">IFERROR(IF(J57="","",J57*K57),"")</f>
        <v/>
      </c>
      <c r="M57" s="75"/>
      <c r="N57" s="75"/>
      <c r="O57" s="77" t="str">
        <f aca="false">IFERROR(IF(M57="","",M57*N57),"")</f>
        <v/>
      </c>
      <c r="P57" s="75"/>
      <c r="Q57" s="75"/>
      <c r="R57" s="77" t="str">
        <f aca="false">IFERROR(IF(P57="","",P57*Q57),"")</f>
        <v/>
      </c>
      <c r="S57" s="75"/>
      <c r="T57" s="75"/>
      <c r="U57" s="77" t="str">
        <f aca="false">IFERROR(IF(S57="","",S57*T57),"")</f>
        <v/>
      </c>
      <c r="V57" s="75"/>
      <c r="W57" s="75"/>
      <c r="X57" s="77" t="str">
        <f aca="false">IFERROR(IF(V57="","",V57*W57),"")</f>
        <v/>
      </c>
      <c r="Y57" s="75"/>
      <c r="Z57" s="75"/>
      <c r="AA57" s="77" t="str">
        <f aca="false">IFERROR(IF(Y57="","",Y57*Z57),"")</f>
        <v/>
      </c>
      <c r="AB57" s="75"/>
      <c r="AC57" s="75"/>
      <c r="AD57" s="77" t="str">
        <f aca="false">IFERROR(IF(AB57="","",AB57*AC57),"")</f>
        <v/>
      </c>
      <c r="AE57" s="75"/>
      <c r="AF57" s="75"/>
      <c r="AG57" s="77" t="str">
        <f aca="false">IFERROR(IF(AE57="","",AE57*AF57),"")</f>
        <v/>
      </c>
      <c r="AH57" s="75"/>
      <c r="AI57" s="75"/>
      <c r="AJ57" s="77" t="str">
        <f aca="false">IFERROR(IF(AH57="","",AH57*AI57),"")</f>
        <v/>
      </c>
      <c r="AK57" s="75"/>
      <c r="AL57" s="75"/>
      <c r="AM57" s="77" t="str">
        <f aca="false">IFERROR(IF(AK57="","",AK57*AL57),"")</f>
        <v/>
      </c>
      <c r="AN57" s="75"/>
    </row>
    <row r="58" customFormat="false" ht="15.75" hidden="false" customHeight="true" outlineLevel="0" collapsed="false">
      <c r="A58" s="60" t="n">
        <v>51</v>
      </c>
      <c r="B58" s="72"/>
      <c r="C58" s="73"/>
      <c r="D58" s="72"/>
      <c r="E58" s="72"/>
      <c r="F58" s="74" t="str">
        <f aca="false">IFERROR(IF(D58="","",D58*E58),"")</f>
        <v/>
      </c>
      <c r="G58" s="72"/>
      <c r="H58" s="72"/>
      <c r="I58" s="74" t="str">
        <f aca="false">IFERROR(IF(G58="","",G58*H58),"")</f>
        <v/>
      </c>
      <c r="J58" s="72"/>
      <c r="K58" s="72"/>
      <c r="L58" s="74" t="str">
        <f aca="false">IFERROR(IF(J58="","",J58*K58),"")</f>
        <v/>
      </c>
      <c r="M58" s="72"/>
      <c r="N58" s="72"/>
      <c r="O58" s="74" t="str">
        <f aca="false">IFERROR(IF(M58="","",M58*N58),"")</f>
        <v/>
      </c>
      <c r="P58" s="72"/>
      <c r="Q58" s="72"/>
      <c r="R58" s="74" t="str">
        <f aca="false">IFERROR(IF(P58="","",P58*Q58),"")</f>
        <v/>
      </c>
      <c r="S58" s="72"/>
      <c r="T58" s="72"/>
      <c r="U58" s="74" t="str">
        <f aca="false">IFERROR(IF(S58="","",S58*T58),"")</f>
        <v/>
      </c>
      <c r="V58" s="72"/>
      <c r="W58" s="72"/>
      <c r="X58" s="74" t="str">
        <f aca="false">IFERROR(IF(V58="","",V58*W58),"")</f>
        <v/>
      </c>
      <c r="Y58" s="72"/>
      <c r="Z58" s="72"/>
      <c r="AA58" s="74" t="str">
        <f aca="false">IFERROR(IF(Y58="","",Y58*Z58),"")</f>
        <v/>
      </c>
      <c r="AB58" s="72"/>
      <c r="AC58" s="72"/>
      <c r="AD58" s="74" t="str">
        <f aca="false">IFERROR(IF(AB58="","",AB58*AC58),"")</f>
        <v/>
      </c>
      <c r="AE58" s="72"/>
      <c r="AF58" s="72"/>
      <c r="AG58" s="74" t="str">
        <f aca="false">IFERROR(IF(AE58="","",AE58*AF58),"")</f>
        <v/>
      </c>
      <c r="AH58" s="72"/>
      <c r="AI58" s="72"/>
      <c r="AJ58" s="74" t="str">
        <f aca="false">IFERROR(IF(AH58="","",AH58*AI58),"")</f>
        <v/>
      </c>
      <c r="AK58" s="72"/>
      <c r="AL58" s="72"/>
      <c r="AM58" s="74" t="str">
        <f aca="false">IFERROR(IF(AK58="","",AK58*AL58),"")</f>
        <v/>
      </c>
      <c r="AN58" s="72"/>
    </row>
    <row r="59" customFormat="false" ht="15.75" hidden="false" customHeight="true" outlineLevel="0" collapsed="false">
      <c r="A59" s="62" t="n">
        <v>52</v>
      </c>
      <c r="B59" s="75"/>
      <c r="C59" s="76"/>
      <c r="D59" s="75"/>
      <c r="E59" s="75"/>
      <c r="F59" s="77" t="str">
        <f aca="false">IFERROR(IF(D59="","",D59*E59),"")</f>
        <v/>
      </c>
      <c r="G59" s="75"/>
      <c r="H59" s="75"/>
      <c r="I59" s="77" t="str">
        <f aca="false">IFERROR(IF(G59="","",G59*H59),"")</f>
        <v/>
      </c>
      <c r="J59" s="75"/>
      <c r="K59" s="75"/>
      <c r="L59" s="77" t="str">
        <f aca="false">IFERROR(IF(J59="","",J59*K59),"")</f>
        <v/>
      </c>
      <c r="M59" s="75"/>
      <c r="N59" s="75"/>
      <c r="O59" s="77" t="str">
        <f aca="false">IFERROR(IF(M59="","",M59*N59),"")</f>
        <v/>
      </c>
      <c r="P59" s="75"/>
      <c r="Q59" s="75"/>
      <c r="R59" s="77" t="str">
        <f aca="false">IFERROR(IF(P59="","",P59*Q59),"")</f>
        <v/>
      </c>
      <c r="S59" s="75"/>
      <c r="T59" s="75"/>
      <c r="U59" s="77" t="str">
        <f aca="false">IFERROR(IF(S59="","",S59*T59),"")</f>
        <v/>
      </c>
      <c r="V59" s="75"/>
      <c r="W59" s="75"/>
      <c r="X59" s="77" t="str">
        <f aca="false">IFERROR(IF(V59="","",V59*W59),"")</f>
        <v/>
      </c>
      <c r="Y59" s="75"/>
      <c r="Z59" s="75"/>
      <c r="AA59" s="77" t="str">
        <f aca="false">IFERROR(IF(Y59="","",Y59*Z59),"")</f>
        <v/>
      </c>
      <c r="AB59" s="75"/>
      <c r="AC59" s="75"/>
      <c r="AD59" s="77" t="str">
        <f aca="false">IFERROR(IF(AB59="","",AB59*AC59),"")</f>
        <v/>
      </c>
      <c r="AE59" s="75"/>
      <c r="AF59" s="75"/>
      <c r="AG59" s="77" t="str">
        <f aca="false">IFERROR(IF(AE59="","",AE59*AF59),"")</f>
        <v/>
      </c>
      <c r="AH59" s="75"/>
      <c r="AI59" s="75"/>
      <c r="AJ59" s="77" t="str">
        <f aca="false">IFERROR(IF(AH59="","",AH59*AI59),"")</f>
        <v/>
      </c>
      <c r="AK59" s="75"/>
      <c r="AL59" s="75"/>
      <c r="AM59" s="77" t="str">
        <f aca="false">IFERROR(IF(AK59="","",AK59*AL59),"")</f>
        <v/>
      </c>
      <c r="AN59" s="75"/>
    </row>
    <row r="60" customFormat="false" ht="15.75" hidden="false" customHeight="true" outlineLevel="0" collapsed="false">
      <c r="A60" s="60" t="n">
        <v>53</v>
      </c>
      <c r="B60" s="72"/>
      <c r="C60" s="73"/>
      <c r="D60" s="72"/>
      <c r="E60" s="72"/>
      <c r="F60" s="74" t="str">
        <f aca="false">IFERROR(IF(D60="","",D60*E60),"")</f>
        <v/>
      </c>
      <c r="G60" s="72"/>
      <c r="H60" s="72"/>
      <c r="I60" s="74" t="str">
        <f aca="false">IFERROR(IF(G60="","",G60*H60),"")</f>
        <v/>
      </c>
      <c r="J60" s="72"/>
      <c r="K60" s="72"/>
      <c r="L60" s="74" t="str">
        <f aca="false">IFERROR(IF(J60="","",J60*K60),"")</f>
        <v/>
      </c>
      <c r="M60" s="72"/>
      <c r="N60" s="72"/>
      <c r="O60" s="74" t="str">
        <f aca="false">IFERROR(IF(M60="","",M60*N60),"")</f>
        <v/>
      </c>
      <c r="P60" s="72"/>
      <c r="Q60" s="72"/>
      <c r="R60" s="74" t="str">
        <f aca="false">IFERROR(IF(P60="","",P60*Q60),"")</f>
        <v/>
      </c>
      <c r="S60" s="72"/>
      <c r="T60" s="72"/>
      <c r="U60" s="74" t="str">
        <f aca="false">IFERROR(IF(S60="","",S60*T60),"")</f>
        <v/>
      </c>
      <c r="V60" s="72"/>
      <c r="W60" s="72"/>
      <c r="X60" s="74" t="str">
        <f aca="false">IFERROR(IF(V60="","",V60*W60),"")</f>
        <v/>
      </c>
      <c r="Y60" s="72"/>
      <c r="Z60" s="72"/>
      <c r="AA60" s="74" t="str">
        <f aca="false">IFERROR(IF(Y60="","",Y60*Z60),"")</f>
        <v/>
      </c>
      <c r="AB60" s="72"/>
      <c r="AC60" s="72"/>
      <c r="AD60" s="74" t="str">
        <f aca="false">IFERROR(IF(AB60="","",AB60*AC60),"")</f>
        <v/>
      </c>
      <c r="AE60" s="72"/>
      <c r="AF60" s="72"/>
      <c r="AG60" s="74" t="str">
        <f aca="false">IFERROR(IF(AE60="","",AE60*AF60),"")</f>
        <v/>
      </c>
      <c r="AH60" s="72"/>
      <c r="AI60" s="72"/>
      <c r="AJ60" s="74" t="str">
        <f aca="false">IFERROR(IF(AH60="","",AH60*AI60),"")</f>
        <v/>
      </c>
      <c r="AK60" s="72"/>
      <c r="AL60" s="72"/>
      <c r="AM60" s="74" t="str">
        <f aca="false">IFERROR(IF(AK60="","",AK60*AL60),"")</f>
        <v/>
      </c>
      <c r="AN60" s="72"/>
    </row>
    <row r="61" customFormat="false" ht="15.75" hidden="false" customHeight="true" outlineLevel="0" collapsed="false">
      <c r="A61" s="62" t="n">
        <v>54</v>
      </c>
      <c r="B61" s="75"/>
      <c r="C61" s="76"/>
      <c r="D61" s="75"/>
      <c r="E61" s="75"/>
      <c r="F61" s="77" t="str">
        <f aca="false">IFERROR(IF(D61="","",D61*E61),"")</f>
        <v/>
      </c>
      <c r="G61" s="75"/>
      <c r="H61" s="75"/>
      <c r="I61" s="77" t="str">
        <f aca="false">IFERROR(IF(G61="","",G61*H61),"")</f>
        <v/>
      </c>
      <c r="J61" s="75"/>
      <c r="K61" s="75"/>
      <c r="L61" s="77" t="str">
        <f aca="false">IFERROR(IF(J61="","",J61*K61),"")</f>
        <v/>
      </c>
      <c r="M61" s="75"/>
      <c r="N61" s="75"/>
      <c r="O61" s="77" t="str">
        <f aca="false">IFERROR(IF(M61="","",M61*N61),"")</f>
        <v/>
      </c>
      <c r="P61" s="75"/>
      <c r="Q61" s="75"/>
      <c r="R61" s="77" t="str">
        <f aca="false">IFERROR(IF(P61="","",P61*Q61),"")</f>
        <v/>
      </c>
      <c r="S61" s="75"/>
      <c r="T61" s="75"/>
      <c r="U61" s="77" t="str">
        <f aca="false">IFERROR(IF(S61="","",S61*T61),"")</f>
        <v/>
      </c>
      <c r="V61" s="75"/>
      <c r="W61" s="75"/>
      <c r="X61" s="77" t="str">
        <f aca="false">IFERROR(IF(V61="","",V61*W61),"")</f>
        <v/>
      </c>
      <c r="Y61" s="75"/>
      <c r="Z61" s="75"/>
      <c r="AA61" s="77" t="str">
        <f aca="false">IFERROR(IF(Y61="","",Y61*Z61),"")</f>
        <v/>
      </c>
      <c r="AB61" s="75"/>
      <c r="AC61" s="75"/>
      <c r="AD61" s="77" t="str">
        <f aca="false">IFERROR(IF(AB61="","",AB61*AC61),"")</f>
        <v/>
      </c>
      <c r="AE61" s="75"/>
      <c r="AF61" s="75"/>
      <c r="AG61" s="77" t="str">
        <f aca="false">IFERROR(IF(AE61="","",AE61*AF61),"")</f>
        <v/>
      </c>
      <c r="AH61" s="75"/>
      <c r="AI61" s="75"/>
      <c r="AJ61" s="77" t="str">
        <f aca="false">IFERROR(IF(AH61="","",AH61*AI61),"")</f>
        <v/>
      </c>
      <c r="AK61" s="75"/>
      <c r="AL61" s="75"/>
      <c r="AM61" s="77" t="str">
        <f aca="false">IFERROR(IF(AK61="","",AK61*AL61),"")</f>
        <v/>
      </c>
      <c r="AN61" s="75"/>
    </row>
    <row r="62" customFormat="false" ht="15.75" hidden="false" customHeight="true" outlineLevel="0" collapsed="false">
      <c r="A62" s="60" t="n">
        <v>55</v>
      </c>
      <c r="B62" s="72"/>
      <c r="C62" s="73"/>
      <c r="D62" s="72"/>
      <c r="E62" s="72"/>
      <c r="F62" s="74" t="str">
        <f aca="false">IFERROR(IF(D62="","",D62*E62),"")</f>
        <v/>
      </c>
      <c r="G62" s="72"/>
      <c r="H62" s="72"/>
      <c r="I62" s="74" t="str">
        <f aca="false">IFERROR(IF(G62="","",G62*H62),"")</f>
        <v/>
      </c>
      <c r="J62" s="72"/>
      <c r="K62" s="72"/>
      <c r="L62" s="74" t="str">
        <f aca="false">IFERROR(IF(J62="","",J62*K62),"")</f>
        <v/>
      </c>
      <c r="M62" s="72"/>
      <c r="N62" s="72"/>
      <c r="O62" s="74" t="str">
        <f aca="false">IFERROR(IF(M62="","",M62*N62),"")</f>
        <v/>
      </c>
      <c r="P62" s="72"/>
      <c r="Q62" s="72"/>
      <c r="R62" s="74" t="str">
        <f aca="false">IFERROR(IF(P62="","",P62*Q62),"")</f>
        <v/>
      </c>
      <c r="S62" s="72"/>
      <c r="T62" s="72"/>
      <c r="U62" s="74" t="str">
        <f aca="false">IFERROR(IF(S62="","",S62*T62),"")</f>
        <v/>
      </c>
      <c r="V62" s="72"/>
      <c r="W62" s="72"/>
      <c r="X62" s="74" t="str">
        <f aca="false">IFERROR(IF(V62="","",V62*W62),"")</f>
        <v/>
      </c>
      <c r="Y62" s="72"/>
      <c r="Z62" s="72"/>
      <c r="AA62" s="74" t="str">
        <f aca="false">IFERROR(IF(Y62="","",Y62*Z62),"")</f>
        <v/>
      </c>
      <c r="AB62" s="72"/>
      <c r="AC62" s="72"/>
      <c r="AD62" s="74" t="str">
        <f aca="false">IFERROR(IF(AB62="","",AB62*AC62),"")</f>
        <v/>
      </c>
      <c r="AE62" s="72"/>
      <c r="AF62" s="72"/>
      <c r="AG62" s="74" t="str">
        <f aca="false">IFERROR(IF(AE62="","",AE62*AF62),"")</f>
        <v/>
      </c>
      <c r="AH62" s="72"/>
      <c r="AI62" s="72"/>
      <c r="AJ62" s="74" t="str">
        <f aca="false">IFERROR(IF(AH62="","",AH62*AI62),"")</f>
        <v/>
      </c>
      <c r="AK62" s="72"/>
      <c r="AL62" s="72"/>
      <c r="AM62" s="74" t="str">
        <f aca="false">IFERROR(IF(AK62="","",AK62*AL62),"")</f>
        <v/>
      </c>
      <c r="AN62" s="72"/>
    </row>
    <row r="63" customFormat="false" ht="15.75" hidden="false" customHeight="true" outlineLevel="0" collapsed="false">
      <c r="A63" s="62" t="n">
        <v>56</v>
      </c>
      <c r="B63" s="75"/>
      <c r="C63" s="76"/>
      <c r="D63" s="75"/>
      <c r="E63" s="75"/>
      <c r="F63" s="77" t="str">
        <f aca="false">IFERROR(IF(D63="","",D63*E63),"")</f>
        <v/>
      </c>
      <c r="G63" s="75"/>
      <c r="H63" s="75"/>
      <c r="I63" s="77" t="str">
        <f aca="false">IFERROR(IF(G63="","",G63*H63),"")</f>
        <v/>
      </c>
      <c r="J63" s="75"/>
      <c r="K63" s="75"/>
      <c r="L63" s="77" t="str">
        <f aca="false">IFERROR(IF(J63="","",J63*K63),"")</f>
        <v/>
      </c>
      <c r="M63" s="75"/>
      <c r="N63" s="75"/>
      <c r="O63" s="77" t="str">
        <f aca="false">IFERROR(IF(M63="","",M63*N63),"")</f>
        <v/>
      </c>
      <c r="P63" s="75"/>
      <c r="Q63" s="75"/>
      <c r="R63" s="77" t="str">
        <f aca="false">IFERROR(IF(P63="","",P63*Q63),"")</f>
        <v/>
      </c>
      <c r="S63" s="75"/>
      <c r="T63" s="75"/>
      <c r="U63" s="77" t="str">
        <f aca="false">IFERROR(IF(S63="","",S63*T63),"")</f>
        <v/>
      </c>
      <c r="V63" s="75"/>
      <c r="W63" s="75"/>
      <c r="X63" s="77" t="str">
        <f aca="false">IFERROR(IF(V63="","",V63*W63),"")</f>
        <v/>
      </c>
      <c r="Y63" s="75"/>
      <c r="Z63" s="75"/>
      <c r="AA63" s="77" t="str">
        <f aca="false">IFERROR(IF(Y63="","",Y63*Z63),"")</f>
        <v/>
      </c>
      <c r="AB63" s="75"/>
      <c r="AC63" s="75"/>
      <c r="AD63" s="77" t="str">
        <f aca="false">IFERROR(IF(AB63="","",AB63*AC63),"")</f>
        <v/>
      </c>
      <c r="AE63" s="75"/>
      <c r="AF63" s="75"/>
      <c r="AG63" s="77" t="str">
        <f aca="false">IFERROR(IF(AE63="","",AE63*AF63),"")</f>
        <v/>
      </c>
      <c r="AH63" s="75"/>
      <c r="AI63" s="75"/>
      <c r="AJ63" s="77" t="str">
        <f aca="false">IFERROR(IF(AH63="","",AH63*AI63),"")</f>
        <v/>
      </c>
      <c r="AK63" s="75"/>
      <c r="AL63" s="75"/>
      <c r="AM63" s="77" t="str">
        <f aca="false">IFERROR(IF(AK63="","",AK63*AL63),"")</f>
        <v/>
      </c>
      <c r="AN63" s="75"/>
    </row>
    <row r="64" customFormat="false" ht="15.75" hidden="false" customHeight="true" outlineLevel="0" collapsed="false">
      <c r="A64" s="60" t="n">
        <v>57</v>
      </c>
      <c r="B64" s="72"/>
      <c r="C64" s="73"/>
      <c r="D64" s="72"/>
      <c r="E64" s="72"/>
      <c r="F64" s="74" t="str">
        <f aca="false">IFERROR(IF(D64="","",D64*E64),"")</f>
        <v/>
      </c>
      <c r="G64" s="72"/>
      <c r="H64" s="72"/>
      <c r="I64" s="74" t="str">
        <f aca="false">IFERROR(IF(G64="","",G64*H64),"")</f>
        <v/>
      </c>
      <c r="J64" s="72"/>
      <c r="K64" s="72"/>
      <c r="L64" s="74" t="str">
        <f aca="false">IFERROR(IF(J64="","",J64*K64),"")</f>
        <v/>
      </c>
      <c r="M64" s="72"/>
      <c r="N64" s="72"/>
      <c r="O64" s="74" t="str">
        <f aca="false">IFERROR(IF(M64="","",M64*N64),"")</f>
        <v/>
      </c>
      <c r="P64" s="72"/>
      <c r="Q64" s="72"/>
      <c r="R64" s="74" t="str">
        <f aca="false">IFERROR(IF(P64="","",P64*Q64),"")</f>
        <v/>
      </c>
      <c r="S64" s="72"/>
      <c r="T64" s="72"/>
      <c r="U64" s="74" t="str">
        <f aca="false">IFERROR(IF(S64="","",S64*T64),"")</f>
        <v/>
      </c>
      <c r="V64" s="72"/>
      <c r="W64" s="72"/>
      <c r="X64" s="74" t="str">
        <f aca="false">IFERROR(IF(V64="","",V64*W64),"")</f>
        <v/>
      </c>
      <c r="Y64" s="72"/>
      <c r="Z64" s="72"/>
      <c r="AA64" s="74" t="str">
        <f aca="false">IFERROR(IF(Y64="","",Y64*Z64),"")</f>
        <v/>
      </c>
      <c r="AB64" s="72"/>
      <c r="AC64" s="72"/>
      <c r="AD64" s="74" t="str">
        <f aca="false">IFERROR(IF(AB64="","",AB64*AC64),"")</f>
        <v/>
      </c>
      <c r="AE64" s="72"/>
      <c r="AF64" s="72"/>
      <c r="AG64" s="74" t="str">
        <f aca="false">IFERROR(IF(AE64="","",AE64*AF64),"")</f>
        <v/>
      </c>
      <c r="AH64" s="72"/>
      <c r="AI64" s="72"/>
      <c r="AJ64" s="74" t="str">
        <f aca="false">IFERROR(IF(AH64="","",AH64*AI64),"")</f>
        <v/>
      </c>
      <c r="AK64" s="72"/>
      <c r="AL64" s="72"/>
      <c r="AM64" s="74" t="str">
        <f aca="false">IFERROR(IF(AK64="","",AK64*AL64),"")</f>
        <v/>
      </c>
      <c r="AN64" s="72"/>
    </row>
    <row r="65" customFormat="false" ht="15.75" hidden="false" customHeight="true" outlineLevel="0" collapsed="false">
      <c r="A65" s="62" t="n">
        <v>58</v>
      </c>
      <c r="B65" s="75"/>
      <c r="C65" s="76"/>
      <c r="D65" s="75"/>
      <c r="E65" s="75"/>
      <c r="F65" s="77" t="str">
        <f aca="false">IFERROR(IF(D65="","",D65*E65),"")</f>
        <v/>
      </c>
      <c r="G65" s="75"/>
      <c r="H65" s="75"/>
      <c r="I65" s="77" t="str">
        <f aca="false">IFERROR(IF(G65="","",G65*H65),"")</f>
        <v/>
      </c>
      <c r="J65" s="75"/>
      <c r="K65" s="75"/>
      <c r="L65" s="77" t="str">
        <f aca="false">IFERROR(IF(J65="","",J65*K65),"")</f>
        <v/>
      </c>
      <c r="M65" s="75"/>
      <c r="N65" s="75"/>
      <c r="O65" s="77" t="str">
        <f aca="false">IFERROR(IF(M65="","",M65*N65),"")</f>
        <v/>
      </c>
      <c r="P65" s="75"/>
      <c r="Q65" s="75"/>
      <c r="R65" s="77" t="str">
        <f aca="false">IFERROR(IF(P65="","",P65*Q65),"")</f>
        <v/>
      </c>
      <c r="S65" s="75"/>
      <c r="T65" s="75"/>
      <c r="U65" s="77" t="str">
        <f aca="false">IFERROR(IF(S65="","",S65*T65),"")</f>
        <v/>
      </c>
      <c r="V65" s="75"/>
      <c r="W65" s="75"/>
      <c r="X65" s="77" t="str">
        <f aca="false">IFERROR(IF(V65="","",V65*W65),"")</f>
        <v/>
      </c>
      <c r="Y65" s="75"/>
      <c r="Z65" s="75"/>
      <c r="AA65" s="77" t="str">
        <f aca="false">IFERROR(IF(Y65="","",Y65*Z65),"")</f>
        <v/>
      </c>
      <c r="AB65" s="75"/>
      <c r="AC65" s="75"/>
      <c r="AD65" s="77" t="str">
        <f aca="false">IFERROR(IF(AB65="","",AB65*AC65),"")</f>
        <v/>
      </c>
      <c r="AE65" s="75"/>
      <c r="AF65" s="75"/>
      <c r="AG65" s="77" t="str">
        <f aca="false">IFERROR(IF(AE65="","",AE65*AF65),"")</f>
        <v/>
      </c>
      <c r="AH65" s="75"/>
      <c r="AI65" s="75"/>
      <c r="AJ65" s="77" t="str">
        <f aca="false">IFERROR(IF(AH65="","",AH65*AI65),"")</f>
        <v/>
      </c>
      <c r="AK65" s="75"/>
      <c r="AL65" s="75"/>
      <c r="AM65" s="77" t="str">
        <f aca="false">IFERROR(IF(AK65="","",AK65*AL65),"")</f>
        <v/>
      </c>
      <c r="AN65" s="75"/>
    </row>
    <row r="66" customFormat="false" ht="15.75" hidden="false" customHeight="true" outlineLevel="0" collapsed="false">
      <c r="A66" s="60" t="n">
        <v>59</v>
      </c>
      <c r="B66" s="72"/>
      <c r="C66" s="73"/>
      <c r="D66" s="72"/>
      <c r="E66" s="72"/>
      <c r="F66" s="74" t="str">
        <f aca="false">IFERROR(IF(D66="","",D66*E66),"")</f>
        <v/>
      </c>
      <c r="G66" s="72"/>
      <c r="H66" s="72"/>
      <c r="I66" s="74" t="str">
        <f aca="false">IFERROR(IF(G66="","",G66*H66),"")</f>
        <v/>
      </c>
      <c r="J66" s="72"/>
      <c r="K66" s="72"/>
      <c r="L66" s="74" t="str">
        <f aca="false">IFERROR(IF(J66="","",J66*K66),"")</f>
        <v/>
      </c>
      <c r="M66" s="72"/>
      <c r="N66" s="72"/>
      <c r="O66" s="74" t="str">
        <f aca="false">IFERROR(IF(M66="","",M66*N66),"")</f>
        <v/>
      </c>
      <c r="P66" s="72"/>
      <c r="Q66" s="72"/>
      <c r="R66" s="74" t="str">
        <f aca="false">IFERROR(IF(P66="","",P66*Q66),"")</f>
        <v/>
      </c>
      <c r="S66" s="72"/>
      <c r="T66" s="72"/>
      <c r="U66" s="74" t="str">
        <f aca="false">IFERROR(IF(S66="","",S66*T66),"")</f>
        <v/>
      </c>
      <c r="V66" s="72"/>
      <c r="W66" s="72"/>
      <c r="X66" s="74" t="str">
        <f aca="false">IFERROR(IF(V66="","",V66*W66),"")</f>
        <v/>
      </c>
      <c r="Y66" s="72"/>
      <c r="Z66" s="72"/>
      <c r="AA66" s="74" t="str">
        <f aca="false">IFERROR(IF(Y66="","",Y66*Z66),"")</f>
        <v/>
      </c>
      <c r="AB66" s="72"/>
      <c r="AC66" s="72"/>
      <c r="AD66" s="74" t="str">
        <f aca="false">IFERROR(IF(AB66="","",AB66*AC66),"")</f>
        <v/>
      </c>
      <c r="AE66" s="72"/>
      <c r="AF66" s="72"/>
      <c r="AG66" s="74" t="str">
        <f aca="false">IFERROR(IF(AE66="","",AE66*AF66),"")</f>
        <v/>
      </c>
      <c r="AH66" s="72"/>
      <c r="AI66" s="72"/>
      <c r="AJ66" s="74" t="str">
        <f aca="false">IFERROR(IF(AH66="","",AH66*AI66),"")</f>
        <v/>
      </c>
      <c r="AK66" s="72"/>
      <c r="AL66" s="72"/>
      <c r="AM66" s="74" t="str">
        <f aca="false">IFERROR(IF(AK66="","",AK66*AL66),"")</f>
        <v/>
      </c>
      <c r="AN66" s="72"/>
    </row>
    <row r="67" customFormat="false" ht="15.75" hidden="false" customHeight="true" outlineLevel="0" collapsed="false">
      <c r="A67" s="62" t="n">
        <v>60</v>
      </c>
      <c r="B67" s="75"/>
      <c r="C67" s="76"/>
      <c r="D67" s="75"/>
      <c r="E67" s="75"/>
      <c r="F67" s="77" t="str">
        <f aca="false">IFERROR(IF(D67="","",D67*E67),"")</f>
        <v/>
      </c>
      <c r="G67" s="75"/>
      <c r="H67" s="75"/>
      <c r="I67" s="77" t="str">
        <f aca="false">IFERROR(IF(G67="","",G67*H67),"")</f>
        <v/>
      </c>
      <c r="J67" s="75"/>
      <c r="K67" s="75"/>
      <c r="L67" s="77" t="str">
        <f aca="false">IFERROR(IF(J67="","",J67*K67),"")</f>
        <v/>
      </c>
      <c r="M67" s="75"/>
      <c r="N67" s="75"/>
      <c r="O67" s="77" t="str">
        <f aca="false">IFERROR(IF(M67="","",M67*N67),"")</f>
        <v/>
      </c>
      <c r="P67" s="75"/>
      <c r="Q67" s="75"/>
      <c r="R67" s="77" t="str">
        <f aca="false">IFERROR(IF(P67="","",P67*Q67),"")</f>
        <v/>
      </c>
      <c r="S67" s="75"/>
      <c r="T67" s="75"/>
      <c r="U67" s="77" t="str">
        <f aca="false">IFERROR(IF(S67="","",S67*T67),"")</f>
        <v/>
      </c>
      <c r="V67" s="75"/>
      <c r="W67" s="75"/>
      <c r="X67" s="77" t="str">
        <f aca="false">IFERROR(IF(V67="","",V67*W67),"")</f>
        <v/>
      </c>
      <c r="Y67" s="75"/>
      <c r="Z67" s="75"/>
      <c r="AA67" s="77" t="str">
        <f aca="false">IFERROR(IF(Y67="","",Y67*Z67),"")</f>
        <v/>
      </c>
      <c r="AB67" s="75"/>
      <c r="AC67" s="75"/>
      <c r="AD67" s="77" t="str">
        <f aca="false">IFERROR(IF(AB67="","",AB67*AC67),"")</f>
        <v/>
      </c>
      <c r="AE67" s="75"/>
      <c r="AF67" s="75"/>
      <c r="AG67" s="77" t="str">
        <f aca="false">IFERROR(IF(AE67="","",AE67*AF67),"")</f>
        <v/>
      </c>
      <c r="AH67" s="75"/>
      <c r="AI67" s="75"/>
      <c r="AJ67" s="77" t="str">
        <f aca="false">IFERROR(IF(AH67="","",AH67*AI67),"")</f>
        <v/>
      </c>
      <c r="AK67" s="75"/>
      <c r="AL67" s="75"/>
      <c r="AM67" s="77" t="str">
        <f aca="false">IFERROR(IF(AK67="","",AK67*AL67),"")</f>
        <v/>
      </c>
      <c r="AN67" s="75"/>
    </row>
    <row r="68" customFormat="false" ht="15.75" hidden="false" customHeight="true" outlineLevel="0" collapsed="false">
      <c r="A68" s="60" t="n">
        <v>61</v>
      </c>
      <c r="B68" s="72"/>
      <c r="C68" s="73"/>
      <c r="D68" s="72"/>
      <c r="E68" s="72"/>
      <c r="F68" s="74" t="str">
        <f aca="false">IFERROR(IF(D68="","",D68*E68),"")</f>
        <v/>
      </c>
      <c r="G68" s="72"/>
      <c r="H68" s="72"/>
      <c r="I68" s="74" t="str">
        <f aca="false">IFERROR(IF(G68="","",G68*H68),"")</f>
        <v/>
      </c>
      <c r="J68" s="72"/>
      <c r="K68" s="72"/>
      <c r="L68" s="74" t="str">
        <f aca="false">IFERROR(IF(J68="","",J68*K68),"")</f>
        <v/>
      </c>
      <c r="M68" s="72"/>
      <c r="N68" s="72"/>
      <c r="O68" s="74" t="str">
        <f aca="false">IFERROR(IF(M68="","",M68*N68),"")</f>
        <v/>
      </c>
      <c r="P68" s="72"/>
      <c r="Q68" s="72"/>
      <c r="R68" s="74" t="str">
        <f aca="false">IFERROR(IF(P68="","",P68*Q68),"")</f>
        <v/>
      </c>
      <c r="S68" s="72"/>
      <c r="T68" s="72"/>
      <c r="U68" s="74" t="str">
        <f aca="false">IFERROR(IF(S68="","",S68*T68),"")</f>
        <v/>
      </c>
      <c r="V68" s="72"/>
      <c r="W68" s="72"/>
      <c r="X68" s="74" t="str">
        <f aca="false">IFERROR(IF(V68="","",V68*W68),"")</f>
        <v/>
      </c>
      <c r="Y68" s="72"/>
      <c r="Z68" s="72"/>
      <c r="AA68" s="74" t="str">
        <f aca="false">IFERROR(IF(Y68="","",Y68*Z68),"")</f>
        <v/>
      </c>
      <c r="AB68" s="72"/>
      <c r="AC68" s="72"/>
      <c r="AD68" s="74" t="str">
        <f aca="false">IFERROR(IF(AB68="","",AB68*AC68),"")</f>
        <v/>
      </c>
      <c r="AE68" s="72"/>
      <c r="AF68" s="72"/>
      <c r="AG68" s="74" t="str">
        <f aca="false">IFERROR(IF(AE68="","",AE68*AF68),"")</f>
        <v/>
      </c>
      <c r="AH68" s="72"/>
      <c r="AI68" s="72"/>
      <c r="AJ68" s="74" t="str">
        <f aca="false">IFERROR(IF(AH68="","",AH68*AI68),"")</f>
        <v/>
      </c>
      <c r="AK68" s="72"/>
      <c r="AL68" s="72"/>
      <c r="AM68" s="74" t="str">
        <f aca="false">IFERROR(IF(AK68="","",AK68*AL68),"")</f>
        <v/>
      </c>
      <c r="AN68" s="72"/>
    </row>
    <row r="69" customFormat="false" ht="15.75" hidden="false" customHeight="true" outlineLevel="0" collapsed="false">
      <c r="A69" s="62" t="n">
        <v>62</v>
      </c>
      <c r="B69" s="75"/>
      <c r="C69" s="76"/>
      <c r="D69" s="75"/>
      <c r="E69" s="75"/>
      <c r="F69" s="77" t="str">
        <f aca="false">IFERROR(IF(D69="","",D69*E69),"")</f>
        <v/>
      </c>
      <c r="G69" s="75"/>
      <c r="H69" s="75"/>
      <c r="I69" s="77" t="str">
        <f aca="false">IFERROR(IF(G69="","",G69*H69),"")</f>
        <v/>
      </c>
      <c r="J69" s="75"/>
      <c r="K69" s="75"/>
      <c r="L69" s="77" t="str">
        <f aca="false">IFERROR(IF(J69="","",J69*K69),"")</f>
        <v/>
      </c>
      <c r="M69" s="75"/>
      <c r="N69" s="75"/>
      <c r="O69" s="77" t="str">
        <f aca="false">IFERROR(IF(M69="","",M69*N69),"")</f>
        <v/>
      </c>
      <c r="P69" s="75"/>
      <c r="Q69" s="75"/>
      <c r="R69" s="77" t="str">
        <f aca="false">IFERROR(IF(P69="","",P69*Q69),"")</f>
        <v/>
      </c>
      <c r="S69" s="75"/>
      <c r="T69" s="75"/>
      <c r="U69" s="77" t="str">
        <f aca="false">IFERROR(IF(S69="","",S69*T69),"")</f>
        <v/>
      </c>
      <c r="V69" s="75"/>
      <c r="W69" s="75"/>
      <c r="X69" s="77" t="str">
        <f aca="false">IFERROR(IF(V69="","",V69*W69),"")</f>
        <v/>
      </c>
      <c r="Y69" s="75"/>
      <c r="Z69" s="75"/>
      <c r="AA69" s="77" t="str">
        <f aca="false">IFERROR(IF(Y69="","",Y69*Z69),"")</f>
        <v/>
      </c>
      <c r="AB69" s="75"/>
      <c r="AC69" s="75"/>
      <c r="AD69" s="77" t="str">
        <f aca="false">IFERROR(IF(AB69="","",AB69*AC69),"")</f>
        <v/>
      </c>
      <c r="AE69" s="75"/>
      <c r="AF69" s="75"/>
      <c r="AG69" s="77" t="str">
        <f aca="false">IFERROR(IF(AE69="","",AE69*AF69),"")</f>
        <v/>
      </c>
      <c r="AH69" s="75"/>
      <c r="AI69" s="75"/>
      <c r="AJ69" s="77" t="str">
        <f aca="false">IFERROR(IF(AH69="","",AH69*AI69),"")</f>
        <v/>
      </c>
      <c r="AK69" s="75"/>
      <c r="AL69" s="75"/>
      <c r="AM69" s="77" t="str">
        <f aca="false">IFERROR(IF(AK69="","",AK69*AL69),"")</f>
        <v/>
      </c>
      <c r="AN69" s="75"/>
    </row>
    <row r="70" customFormat="false" ht="15.75" hidden="false" customHeight="true" outlineLevel="0" collapsed="false">
      <c r="A70" s="60" t="n">
        <v>63</v>
      </c>
      <c r="B70" s="72"/>
      <c r="C70" s="73"/>
      <c r="D70" s="72"/>
      <c r="E70" s="72"/>
      <c r="F70" s="74" t="str">
        <f aca="false">IFERROR(IF(D70="","",D70*E70),"")</f>
        <v/>
      </c>
      <c r="G70" s="72"/>
      <c r="H70" s="72"/>
      <c r="I70" s="74" t="str">
        <f aca="false">IFERROR(IF(G70="","",G70*H70),"")</f>
        <v/>
      </c>
      <c r="J70" s="72"/>
      <c r="K70" s="72"/>
      <c r="L70" s="74" t="str">
        <f aca="false">IFERROR(IF(J70="","",J70*K70),"")</f>
        <v/>
      </c>
      <c r="M70" s="72"/>
      <c r="N70" s="72"/>
      <c r="O70" s="74" t="str">
        <f aca="false">IFERROR(IF(M70="","",M70*N70),"")</f>
        <v/>
      </c>
      <c r="P70" s="72"/>
      <c r="Q70" s="72"/>
      <c r="R70" s="74" t="str">
        <f aca="false">IFERROR(IF(P70="","",P70*Q70),"")</f>
        <v/>
      </c>
      <c r="S70" s="72"/>
      <c r="T70" s="72"/>
      <c r="U70" s="74" t="str">
        <f aca="false">IFERROR(IF(S70="","",S70*T70),"")</f>
        <v/>
      </c>
      <c r="V70" s="72"/>
      <c r="W70" s="72"/>
      <c r="X70" s="74" t="str">
        <f aca="false">IFERROR(IF(V70="","",V70*W70),"")</f>
        <v/>
      </c>
      <c r="Y70" s="72"/>
      <c r="Z70" s="72"/>
      <c r="AA70" s="74" t="str">
        <f aca="false">IFERROR(IF(Y70="","",Y70*Z70),"")</f>
        <v/>
      </c>
      <c r="AB70" s="72"/>
      <c r="AC70" s="72"/>
      <c r="AD70" s="74" t="str">
        <f aca="false">IFERROR(IF(AB70="","",AB70*AC70),"")</f>
        <v/>
      </c>
      <c r="AE70" s="72"/>
      <c r="AF70" s="72"/>
      <c r="AG70" s="74" t="str">
        <f aca="false">IFERROR(IF(AE70="","",AE70*AF70),"")</f>
        <v/>
      </c>
      <c r="AH70" s="72"/>
      <c r="AI70" s="72"/>
      <c r="AJ70" s="74" t="str">
        <f aca="false">IFERROR(IF(AH70="","",AH70*AI70),"")</f>
        <v/>
      </c>
      <c r="AK70" s="72"/>
      <c r="AL70" s="72"/>
      <c r="AM70" s="74" t="str">
        <f aca="false">IFERROR(IF(AK70="","",AK70*AL70),"")</f>
        <v/>
      </c>
      <c r="AN70" s="72"/>
    </row>
    <row r="71" customFormat="false" ht="15.75" hidden="false" customHeight="true" outlineLevel="0" collapsed="false">
      <c r="A71" s="62" t="n">
        <v>64</v>
      </c>
      <c r="B71" s="75"/>
      <c r="C71" s="76"/>
      <c r="D71" s="75"/>
      <c r="E71" s="75"/>
      <c r="F71" s="77" t="str">
        <f aca="false">IFERROR(IF(D71="","",D71*E71),"")</f>
        <v/>
      </c>
      <c r="G71" s="75"/>
      <c r="H71" s="75"/>
      <c r="I71" s="77" t="str">
        <f aca="false">IFERROR(IF(G71="","",G71*H71),"")</f>
        <v/>
      </c>
      <c r="J71" s="75"/>
      <c r="K71" s="75"/>
      <c r="L71" s="77" t="str">
        <f aca="false">IFERROR(IF(J71="","",J71*K71),"")</f>
        <v/>
      </c>
      <c r="M71" s="75"/>
      <c r="N71" s="75"/>
      <c r="O71" s="77" t="str">
        <f aca="false">IFERROR(IF(M71="","",M71*N71),"")</f>
        <v/>
      </c>
      <c r="P71" s="75"/>
      <c r="Q71" s="75"/>
      <c r="R71" s="77" t="str">
        <f aca="false">IFERROR(IF(P71="","",P71*Q71),"")</f>
        <v/>
      </c>
      <c r="S71" s="75"/>
      <c r="T71" s="75"/>
      <c r="U71" s="77" t="str">
        <f aca="false">IFERROR(IF(S71="","",S71*T71),"")</f>
        <v/>
      </c>
      <c r="V71" s="75"/>
      <c r="W71" s="75"/>
      <c r="X71" s="77" t="str">
        <f aca="false">IFERROR(IF(V71="","",V71*W71),"")</f>
        <v/>
      </c>
      <c r="Y71" s="75"/>
      <c r="Z71" s="75"/>
      <c r="AA71" s="77" t="str">
        <f aca="false">IFERROR(IF(Y71="","",Y71*Z71),"")</f>
        <v/>
      </c>
      <c r="AB71" s="75"/>
      <c r="AC71" s="75"/>
      <c r="AD71" s="77" t="str">
        <f aca="false">IFERROR(IF(AB71="","",AB71*AC71),"")</f>
        <v/>
      </c>
      <c r="AE71" s="75"/>
      <c r="AF71" s="75"/>
      <c r="AG71" s="77" t="str">
        <f aca="false">IFERROR(IF(AE71="","",AE71*AF71),"")</f>
        <v/>
      </c>
      <c r="AH71" s="75"/>
      <c r="AI71" s="75"/>
      <c r="AJ71" s="77" t="str">
        <f aca="false">IFERROR(IF(AH71="","",AH71*AI71),"")</f>
        <v/>
      </c>
      <c r="AK71" s="75"/>
      <c r="AL71" s="75"/>
      <c r="AM71" s="77" t="str">
        <f aca="false">IFERROR(IF(AK71="","",AK71*AL71),"")</f>
        <v/>
      </c>
      <c r="AN71" s="75"/>
    </row>
    <row r="72" customFormat="false" ht="15.75" hidden="false" customHeight="true" outlineLevel="0" collapsed="false">
      <c r="A72" s="60" t="n">
        <v>65</v>
      </c>
      <c r="B72" s="72"/>
      <c r="C72" s="73"/>
      <c r="D72" s="72"/>
      <c r="E72" s="72"/>
      <c r="F72" s="74" t="str">
        <f aca="false">IFERROR(IF(D72="","",D72*E72),"")</f>
        <v/>
      </c>
      <c r="G72" s="72"/>
      <c r="H72" s="72"/>
      <c r="I72" s="74" t="str">
        <f aca="false">IFERROR(IF(G72="","",G72*H72),"")</f>
        <v/>
      </c>
      <c r="J72" s="72"/>
      <c r="K72" s="72"/>
      <c r="L72" s="74" t="str">
        <f aca="false">IFERROR(IF(J72="","",J72*K72),"")</f>
        <v/>
      </c>
      <c r="M72" s="72"/>
      <c r="N72" s="72"/>
      <c r="O72" s="74" t="str">
        <f aca="false">IFERROR(IF(M72="","",M72*N72),"")</f>
        <v/>
      </c>
      <c r="P72" s="72"/>
      <c r="Q72" s="72"/>
      <c r="R72" s="74" t="str">
        <f aca="false">IFERROR(IF(P72="","",P72*Q72),"")</f>
        <v/>
      </c>
      <c r="S72" s="72"/>
      <c r="T72" s="72"/>
      <c r="U72" s="74" t="str">
        <f aca="false">IFERROR(IF(S72="","",S72*T72),"")</f>
        <v/>
      </c>
      <c r="V72" s="72"/>
      <c r="W72" s="72"/>
      <c r="X72" s="74" t="str">
        <f aca="false">IFERROR(IF(V72="","",V72*W72),"")</f>
        <v/>
      </c>
      <c r="Y72" s="72"/>
      <c r="Z72" s="72"/>
      <c r="AA72" s="74" t="str">
        <f aca="false">IFERROR(IF(Y72="","",Y72*Z72),"")</f>
        <v/>
      </c>
      <c r="AB72" s="72"/>
      <c r="AC72" s="72"/>
      <c r="AD72" s="74" t="str">
        <f aca="false">IFERROR(IF(AB72="","",AB72*AC72),"")</f>
        <v/>
      </c>
      <c r="AE72" s="72"/>
      <c r="AF72" s="72"/>
      <c r="AG72" s="74" t="str">
        <f aca="false">IFERROR(IF(AE72="","",AE72*AF72),"")</f>
        <v/>
      </c>
      <c r="AH72" s="72"/>
      <c r="AI72" s="72"/>
      <c r="AJ72" s="74" t="str">
        <f aca="false">IFERROR(IF(AH72="","",AH72*AI72),"")</f>
        <v/>
      </c>
      <c r="AK72" s="72"/>
      <c r="AL72" s="72"/>
      <c r="AM72" s="74" t="str">
        <f aca="false">IFERROR(IF(AK72="","",AK72*AL72),"")</f>
        <v/>
      </c>
      <c r="AN72" s="72"/>
    </row>
    <row r="73" customFormat="false" ht="15.75" hidden="false" customHeight="true" outlineLevel="0" collapsed="false">
      <c r="A73" s="62" t="n">
        <v>66</v>
      </c>
      <c r="B73" s="75"/>
      <c r="C73" s="76"/>
      <c r="D73" s="75"/>
      <c r="E73" s="75"/>
      <c r="F73" s="77" t="str">
        <f aca="false">IFERROR(IF(D73="","",D73*E73),"")</f>
        <v/>
      </c>
      <c r="G73" s="75"/>
      <c r="H73" s="75"/>
      <c r="I73" s="77" t="str">
        <f aca="false">IFERROR(IF(G73="","",G73*H73),"")</f>
        <v/>
      </c>
      <c r="J73" s="75"/>
      <c r="K73" s="75"/>
      <c r="L73" s="77" t="str">
        <f aca="false">IFERROR(IF(J73="","",J73*K73),"")</f>
        <v/>
      </c>
      <c r="M73" s="75"/>
      <c r="N73" s="75"/>
      <c r="O73" s="77" t="str">
        <f aca="false">IFERROR(IF(M73="","",M73*N73),"")</f>
        <v/>
      </c>
      <c r="P73" s="75"/>
      <c r="Q73" s="75"/>
      <c r="R73" s="77" t="str">
        <f aca="false">IFERROR(IF(P73="","",P73*Q73),"")</f>
        <v/>
      </c>
      <c r="S73" s="75"/>
      <c r="T73" s="75"/>
      <c r="U73" s="77" t="str">
        <f aca="false">IFERROR(IF(S73="","",S73*T73),"")</f>
        <v/>
      </c>
      <c r="V73" s="75"/>
      <c r="W73" s="75"/>
      <c r="X73" s="77" t="str">
        <f aca="false">IFERROR(IF(V73="","",V73*W73),"")</f>
        <v/>
      </c>
      <c r="Y73" s="75"/>
      <c r="Z73" s="75"/>
      <c r="AA73" s="77" t="str">
        <f aca="false">IFERROR(IF(Y73="","",Y73*Z73),"")</f>
        <v/>
      </c>
      <c r="AB73" s="75"/>
      <c r="AC73" s="75"/>
      <c r="AD73" s="77" t="str">
        <f aca="false">IFERROR(IF(AB73="","",AB73*AC73),"")</f>
        <v/>
      </c>
      <c r="AE73" s="75"/>
      <c r="AF73" s="75"/>
      <c r="AG73" s="77" t="str">
        <f aca="false">IFERROR(IF(AE73="","",AE73*AF73),"")</f>
        <v/>
      </c>
      <c r="AH73" s="75"/>
      <c r="AI73" s="75"/>
      <c r="AJ73" s="77" t="str">
        <f aca="false">IFERROR(IF(AH73="","",AH73*AI73),"")</f>
        <v/>
      </c>
      <c r="AK73" s="75"/>
      <c r="AL73" s="75"/>
      <c r="AM73" s="77" t="str">
        <f aca="false">IFERROR(IF(AK73="","",AK73*AL73),"")</f>
        <v/>
      </c>
      <c r="AN73" s="75"/>
    </row>
    <row r="74" customFormat="false" ht="15.75" hidden="false" customHeight="true" outlineLevel="0" collapsed="false">
      <c r="A74" s="60" t="n">
        <v>67</v>
      </c>
      <c r="B74" s="72"/>
      <c r="C74" s="73"/>
      <c r="D74" s="72"/>
      <c r="E74" s="72"/>
      <c r="F74" s="74" t="str">
        <f aca="false">IFERROR(IF(D74="","",D74*E74),"")</f>
        <v/>
      </c>
      <c r="G74" s="72"/>
      <c r="H74" s="72"/>
      <c r="I74" s="74" t="str">
        <f aca="false">IFERROR(IF(G74="","",G74*H74),"")</f>
        <v/>
      </c>
      <c r="J74" s="72"/>
      <c r="K74" s="72"/>
      <c r="L74" s="74" t="str">
        <f aca="false">IFERROR(IF(J74="","",J74*K74),"")</f>
        <v/>
      </c>
      <c r="M74" s="72"/>
      <c r="N74" s="72"/>
      <c r="O74" s="74" t="str">
        <f aca="false">IFERROR(IF(M74="","",M74*N74),"")</f>
        <v/>
      </c>
      <c r="P74" s="72"/>
      <c r="Q74" s="72"/>
      <c r="R74" s="74" t="str">
        <f aca="false">IFERROR(IF(P74="","",P74*Q74),"")</f>
        <v/>
      </c>
      <c r="S74" s="72"/>
      <c r="T74" s="72"/>
      <c r="U74" s="74" t="str">
        <f aca="false">IFERROR(IF(S74="","",S74*T74),"")</f>
        <v/>
      </c>
      <c r="V74" s="72"/>
      <c r="W74" s="72"/>
      <c r="X74" s="74" t="str">
        <f aca="false">IFERROR(IF(V74="","",V74*W74),"")</f>
        <v/>
      </c>
      <c r="Y74" s="72"/>
      <c r="Z74" s="72"/>
      <c r="AA74" s="74" t="str">
        <f aca="false">IFERROR(IF(Y74="","",Y74*Z74),"")</f>
        <v/>
      </c>
      <c r="AB74" s="72"/>
      <c r="AC74" s="72"/>
      <c r="AD74" s="74" t="str">
        <f aca="false">IFERROR(IF(AB74="","",AB74*AC74),"")</f>
        <v/>
      </c>
      <c r="AE74" s="72"/>
      <c r="AF74" s="72"/>
      <c r="AG74" s="74" t="str">
        <f aca="false">IFERROR(IF(AE74="","",AE74*AF74),"")</f>
        <v/>
      </c>
      <c r="AH74" s="72"/>
      <c r="AI74" s="72"/>
      <c r="AJ74" s="74" t="str">
        <f aca="false">IFERROR(IF(AH74="","",AH74*AI74),"")</f>
        <v/>
      </c>
      <c r="AK74" s="72"/>
      <c r="AL74" s="72"/>
      <c r="AM74" s="74" t="str">
        <f aca="false">IFERROR(IF(AK74="","",AK74*AL74),"")</f>
        <v/>
      </c>
      <c r="AN74" s="72"/>
    </row>
    <row r="75" customFormat="false" ht="15.75" hidden="false" customHeight="true" outlineLevel="0" collapsed="false">
      <c r="A75" s="62" t="n">
        <v>68</v>
      </c>
      <c r="B75" s="75"/>
      <c r="C75" s="76"/>
      <c r="D75" s="75"/>
      <c r="E75" s="75"/>
      <c r="F75" s="77" t="str">
        <f aca="false">IFERROR(IF(D75="","",D75*E75),"")</f>
        <v/>
      </c>
      <c r="G75" s="75"/>
      <c r="H75" s="75"/>
      <c r="I75" s="77" t="str">
        <f aca="false">IFERROR(IF(G75="","",G75*H75),"")</f>
        <v/>
      </c>
      <c r="J75" s="75"/>
      <c r="K75" s="75"/>
      <c r="L75" s="77" t="str">
        <f aca="false">IFERROR(IF(J75="","",J75*K75),"")</f>
        <v/>
      </c>
      <c r="M75" s="75"/>
      <c r="N75" s="75"/>
      <c r="O75" s="77" t="str">
        <f aca="false">IFERROR(IF(M75="","",M75*N75),"")</f>
        <v/>
      </c>
      <c r="P75" s="75"/>
      <c r="Q75" s="75"/>
      <c r="R75" s="77" t="str">
        <f aca="false">IFERROR(IF(P75="","",P75*Q75),"")</f>
        <v/>
      </c>
      <c r="S75" s="75"/>
      <c r="T75" s="75"/>
      <c r="U75" s="77" t="str">
        <f aca="false">IFERROR(IF(S75="","",S75*T75),"")</f>
        <v/>
      </c>
      <c r="V75" s="75"/>
      <c r="W75" s="75"/>
      <c r="X75" s="77" t="str">
        <f aca="false">IFERROR(IF(V75="","",V75*W75),"")</f>
        <v/>
      </c>
      <c r="Y75" s="75"/>
      <c r="Z75" s="75"/>
      <c r="AA75" s="77" t="str">
        <f aca="false">IFERROR(IF(Y75="","",Y75*Z75),"")</f>
        <v/>
      </c>
      <c r="AB75" s="75"/>
      <c r="AC75" s="75"/>
      <c r="AD75" s="77" t="str">
        <f aca="false">IFERROR(IF(AB75="","",AB75*AC75),"")</f>
        <v/>
      </c>
      <c r="AE75" s="75"/>
      <c r="AF75" s="75"/>
      <c r="AG75" s="77" t="str">
        <f aca="false">IFERROR(IF(AE75="","",AE75*AF75),"")</f>
        <v/>
      </c>
      <c r="AH75" s="75"/>
      <c r="AI75" s="75"/>
      <c r="AJ75" s="77" t="str">
        <f aca="false">IFERROR(IF(AH75="","",AH75*AI75),"")</f>
        <v/>
      </c>
      <c r="AK75" s="75"/>
      <c r="AL75" s="75"/>
      <c r="AM75" s="77" t="str">
        <f aca="false">IFERROR(IF(AK75="","",AK75*AL75),"")</f>
        <v/>
      </c>
      <c r="AN75" s="75"/>
    </row>
    <row r="76" customFormat="false" ht="15.75" hidden="false" customHeight="true" outlineLevel="0" collapsed="false">
      <c r="A76" s="60" t="n">
        <v>69</v>
      </c>
      <c r="B76" s="72"/>
      <c r="C76" s="73"/>
      <c r="D76" s="72"/>
      <c r="E76" s="72"/>
      <c r="F76" s="74" t="str">
        <f aca="false">IFERROR(IF(D76="","",D76*E76),"")</f>
        <v/>
      </c>
      <c r="G76" s="72"/>
      <c r="H76" s="72"/>
      <c r="I76" s="74" t="str">
        <f aca="false">IFERROR(IF(G76="","",G76*H76),"")</f>
        <v/>
      </c>
      <c r="J76" s="72"/>
      <c r="K76" s="72"/>
      <c r="L76" s="74" t="str">
        <f aca="false">IFERROR(IF(J76="","",J76*K76),"")</f>
        <v/>
      </c>
      <c r="M76" s="72"/>
      <c r="N76" s="72"/>
      <c r="O76" s="74" t="str">
        <f aca="false">IFERROR(IF(M76="","",M76*N76),"")</f>
        <v/>
      </c>
      <c r="P76" s="72"/>
      <c r="Q76" s="72"/>
      <c r="R76" s="74" t="str">
        <f aca="false">IFERROR(IF(P76="","",P76*Q76),"")</f>
        <v/>
      </c>
      <c r="S76" s="72"/>
      <c r="T76" s="72"/>
      <c r="U76" s="74" t="str">
        <f aca="false">IFERROR(IF(S76="","",S76*T76),"")</f>
        <v/>
      </c>
      <c r="V76" s="72"/>
      <c r="W76" s="72"/>
      <c r="X76" s="74" t="str">
        <f aca="false">IFERROR(IF(V76="","",V76*W76),"")</f>
        <v/>
      </c>
      <c r="Y76" s="72"/>
      <c r="Z76" s="72"/>
      <c r="AA76" s="74" t="str">
        <f aca="false">IFERROR(IF(Y76="","",Y76*Z76),"")</f>
        <v/>
      </c>
      <c r="AB76" s="72"/>
      <c r="AC76" s="72"/>
      <c r="AD76" s="74" t="str">
        <f aca="false">IFERROR(IF(AB76="","",AB76*AC76),"")</f>
        <v/>
      </c>
      <c r="AE76" s="72"/>
      <c r="AF76" s="72"/>
      <c r="AG76" s="74" t="str">
        <f aca="false">IFERROR(IF(AE76="","",AE76*AF76),"")</f>
        <v/>
      </c>
      <c r="AH76" s="72"/>
      <c r="AI76" s="72"/>
      <c r="AJ76" s="74" t="str">
        <f aca="false">IFERROR(IF(AH76="","",AH76*AI76),"")</f>
        <v/>
      </c>
      <c r="AK76" s="72"/>
      <c r="AL76" s="72"/>
      <c r="AM76" s="74" t="str">
        <f aca="false">IFERROR(IF(AK76="","",AK76*AL76),"")</f>
        <v/>
      </c>
      <c r="AN76" s="72"/>
    </row>
    <row r="77" customFormat="false" ht="15.75" hidden="false" customHeight="true" outlineLevel="0" collapsed="false">
      <c r="A77" s="62" t="n">
        <v>70</v>
      </c>
      <c r="B77" s="75"/>
      <c r="C77" s="76"/>
      <c r="D77" s="75"/>
      <c r="E77" s="75"/>
      <c r="F77" s="77" t="str">
        <f aca="false">IFERROR(IF(D77="","",D77*E77),"")</f>
        <v/>
      </c>
      <c r="G77" s="75"/>
      <c r="H77" s="75"/>
      <c r="I77" s="77" t="str">
        <f aca="false">IFERROR(IF(G77="","",G77*H77),"")</f>
        <v/>
      </c>
      <c r="J77" s="75"/>
      <c r="K77" s="75"/>
      <c r="L77" s="77" t="str">
        <f aca="false">IFERROR(IF(J77="","",J77*K77),"")</f>
        <v/>
      </c>
      <c r="M77" s="75"/>
      <c r="N77" s="75"/>
      <c r="O77" s="77" t="str">
        <f aca="false">IFERROR(IF(M77="","",M77*N77),"")</f>
        <v/>
      </c>
      <c r="P77" s="75"/>
      <c r="Q77" s="75"/>
      <c r="R77" s="77" t="str">
        <f aca="false">IFERROR(IF(P77="","",P77*Q77),"")</f>
        <v/>
      </c>
      <c r="S77" s="75"/>
      <c r="T77" s="75"/>
      <c r="U77" s="77" t="str">
        <f aca="false">IFERROR(IF(S77="","",S77*T77),"")</f>
        <v/>
      </c>
      <c r="V77" s="75"/>
      <c r="W77" s="75"/>
      <c r="X77" s="77" t="str">
        <f aca="false">IFERROR(IF(V77="","",V77*W77),"")</f>
        <v/>
      </c>
      <c r="Y77" s="75"/>
      <c r="Z77" s="75"/>
      <c r="AA77" s="77" t="str">
        <f aca="false">IFERROR(IF(Y77="","",Y77*Z77),"")</f>
        <v/>
      </c>
      <c r="AB77" s="75"/>
      <c r="AC77" s="75"/>
      <c r="AD77" s="77" t="str">
        <f aca="false">IFERROR(IF(AB77="","",AB77*AC77),"")</f>
        <v/>
      </c>
      <c r="AE77" s="75"/>
      <c r="AF77" s="75"/>
      <c r="AG77" s="77" t="str">
        <f aca="false">IFERROR(IF(AE77="","",AE77*AF77),"")</f>
        <v/>
      </c>
      <c r="AH77" s="75"/>
      <c r="AI77" s="75"/>
      <c r="AJ77" s="77" t="str">
        <f aca="false">IFERROR(IF(AH77="","",AH77*AI77),"")</f>
        <v/>
      </c>
      <c r="AK77" s="75"/>
      <c r="AL77" s="75"/>
      <c r="AM77" s="77" t="str">
        <f aca="false">IFERROR(IF(AK77="","",AK77*AL77),"")</f>
        <v/>
      </c>
      <c r="AN77" s="75"/>
    </row>
    <row r="78" customFormat="false" ht="15.75" hidden="false" customHeight="true" outlineLevel="0" collapsed="false">
      <c r="A78" s="60" t="n">
        <v>71</v>
      </c>
      <c r="B78" s="72"/>
      <c r="C78" s="73"/>
      <c r="D78" s="72"/>
      <c r="E78" s="72"/>
      <c r="F78" s="74" t="str">
        <f aca="false">IFERROR(IF(D78="","",D78*E78),"")</f>
        <v/>
      </c>
      <c r="G78" s="72"/>
      <c r="H78" s="72"/>
      <c r="I78" s="74" t="str">
        <f aca="false">IFERROR(IF(G78="","",G78*H78),"")</f>
        <v/>
      </c>
      <c r="J78" s="72"/>
      <c r="K78" s="72"/>
      <c r="L78" s="74" t="str">
        <f aca="false">IFERROR(IF(J78="","",J78*K78),"")</f>
        <v/>
      </c>
      <c r="M78" s="72"/>
      <c r="N78" s="72"/>
      <c r="O78" s="74" t="str">
        <f aca="false">IFERROR(IF(M78="","",M78*N78),"")</f>
        <v/>
      </c>
      <c r="P78" s="72"/>
      <c r="Q78" s="72"/>
      <c r="R78" s="74" t="str">
        <f aca="false">IFERROR(IF(P78="","",P78*Q78),"")</f>
        <v/>
      </c>
      <c r="S78" s="72"/>
      <c r="T78" s="72"/>
      <c r="U78" s="74" t="str">
        <f aca="false">IFERROR(IF(S78="","",S78*T78),"")</f>
        <v/>
      </c>
      <c r="V78" s="72"/>
      <c r="W78" s="72"/>
      <c r="X78" s="74" t="str">
        <f aca="false">IFERROR(IF(V78="","",V78*W78),"")</f>
        <v/>
      </c>
      <c r="Y78" s="72"/>
      <c r="Z78" s="72"/>
      <c r="AA78" s="74" t="str">
        <f aca="false">IFERROR(IF(Y78="","",Y78*Z78),"")</f>
        <v/>
      </c>
      <c r="AB78" s="72"/>
      <c r="AC78" s="72"/>
      <c r="AD78" s="74" t="str">
        <f aca="false">IFERROR(IF(AB78="","",AB78*AC78),"")</f>
        <v/>
      </c>
      <c r="AE78" s="72"/>
      <c r="AF78" s="72"/>
      <c r="AG78" s="74" t="str">
        <f aca="false">IFERROR(IF(AE78="","",AE78*AF78),"")</f>
        <v/>
      </c>
      <c r="AH78" s="72"/>
      <c r="AI78" s="72"/>
      <c r="AJ78" s="74" t="str">
        <f aca="false">IFERROR(IF(AH78="","",AH78*AI78),"")</f>
        <v/>
      </c>
      <c r="AK78" s="72"/>
      <c r="AL78" s="72"/>
      <c r="AM78" s="74" t="str">
        <f aca="false">IFERROR(IF(AK78="","",AK78*AL78),"")</f>
        <v/>
      </c>
      <c r="AN78" s="72"/>
    </row>
    <row r="79" customFormat="false" ht="15.75" hidden="false" customHeight="true" outlineLevel="0" collapsed="false">
      <c r="A79" s="62" t="n">
        <v>72</v>
      </c>
      <c r="B79" s="75"/>
      <c r="C79" s="76"/>
      <c r="D79" s="75"/>
      <c r="E79" s="75"/>
      <c r="F79" s="77" t="str">
        <f aca="false">IFERROR(IF(D79="","",D79*E79),"")</f>
        <v/>
      </c>
      <c r="G79" s="75"/>
      <c r="H79" s="75"/>
      <c r="I79" s="77" t="str">
        <f aca="false">IFERROR(IF(G79="","",G79*H79),"")</f>
        <v/>
      </c>
      <c r="J79" s="75"/>
      <c r="K79" s="75"/>
      <c r="L79" s="77" t="str">
        <f aca="false">IFERROR(IF(J79="","",J79*K79),"")</f>
        <v/>
      </c>
      <c r="M79" s="75"/>
      <c r="N79" s="75"/>
      <c r="O79" s="77" t="str">
        <f aca="false">IFERROR(IF(M79="","",M79*N79),"")</f>
        <v/>
      </c>
      <c r="P79" s="75"/>
      <c r="Q79" s="75"/>
      <c r="R79" s="77" t="str">
        <f aca="false">IFERROR(IF(P79="","",P79*Q79),"")</f>
        <v/>
      </c>
      <c r="S79" s="75"/>
      <c r="T79" s="75"/>
      <c r="U79" s="77" t="str">
        <f aca="false">IFERROR(IF(S79="","",S79*T79),"")</f>
        <v/>
      </c>
      <c r="V79" s="75"/>
      <c r="W79" s="75"/>
      <c r="X79" s="77" t="str">
        <f aca="false">IFERROR(IF(V79="","",V79*W79),"")</f>
        <v/>
      </c>
      <c r="Y79" s="75"/>
      <c r="Z79" s="75"/>
      <c r="AA79" s="77" t="str">
        <f aca="false">IFERROR(IF(Y79="","",Y79*Z79),"")</f>
        <v/>
      </c>
      <c r="AB79" s="75"/>
      <c r="AC79" s="75"/>
      <c r="AD79" s="77" t="str">
        <f aca="false">IFERROR(IF(AB79="","",AB79*AC79),"")</f>
        <v/>
      </c>
      <c r="AE79" s="75"/>
      <c r="AF79" s="75"/>
      <c r="AG79" s="77" t="str">
        <f aca="false">IFERROR(IF(AE79="","",AE79*AF79),"")</f>
        <v/>
      </c>
      <c r="AH79" s="75"/>
      <c r="AI79" s="75"/>
      <c r="AJ79" s="77" t="str">
        <f aca="false">IFERROR(IF(AH79="","",AH79*AI79),"")</f>
        <v/>
      </c>
      <c r="AK79" s="75"/>
      <c r="AL79" s="75"/>
      <c r="AM79" s="77" t="str">
        <f aca="false">IFERROR(IF(AK79="","",AK79*AL79),"")</f>
        <v/>
      </c>
      <c r="AN79" s="75"/>
    </row>
    <row r="80" customFormat="false" ht="15.75" hidden="false" customHeight="true" outlineLevel="0" collapsed="false">
      <c r="A80" s="60" t="n">
        <v>73</v>
      </c>
      <c r="B80" s="72"/>
      <c r="C80" s="73"/>
      <c r="D80" s="72"/>
      <c r="E80" s="72"/>
      <c r="F80" s="74" t="str">
        <f aca="false">IFERROR(IF(D80="","",D80*E80),"")</f>
        <v/>
      </c>
      <c r="G80" s="72"/>
      <c r="H80" s="72"/>
      <c r="I80" s="74" t="str">
        <f aca="false">IFERROR(IF(G80="","",G80*H80),"")</f>
        <v/>
      </c>
      <c r="J80" s="72"/>
      <c r="K80" s="72"/>
      <c r="L80" s="74" t="str">
        <f aca="false">IFERROR(IF(J80="","",J80*K80),"")</f>
        <v/>
      </c>
      <c r="M80" s="72"/>
      <c r="N80" s="72"/>
      <c r="O80" s="74" t="str">
        <f aca="false">IFERROR(IF(M80="","",M80*N80),"")</f>
        <v/>
      </c>
      <c r="P80" s="72"/>
      <c r="Q80" s="72"/>
      <c r="R80" s="74" t="str">
        <f aca="false">IFERROR(IF(P80="","",P80*Q80),"")</f>
        <v/>
      </c>
      <c r="S80" s="72"/>
      <c r="T80" s="72"/>
      <c r="U80" s="74" t="str">
        <f aca="false">IFERROR(IF(S80="","",S80*T80),"")</f>
        <v/>
      </c>
      <c r="V80" s="72"/>
      <c r="W80" s="72"/>
      <c r="X80" s="74" t="str">
        <f aca="false">IFERROR(IF(V80="","",V80*W80),"")</f>
        <v/>
      </c>
      <c r="Y80" s="72"/>
      <c r="Z80" s="72"/>
      <c r="AA80" s="74" t="str">
        <f aca="false">IFERROR(IF(Y80="","",Y80*Z80),"")</f>
        <v/>
      </c>
      <c r="AB80" s="72"/>
      <c r="AC80" s="72"/>
      <c r="AD80" s="74" t="str">
        <f aca="false">IFERROR(IF(AB80="","",AB80*AC80),"")</f>
        <v/>
      </c>
      <c r="AE80" s="72"/>
      <c r="AF80" s="72"/>
      <c r="AG80" s="74" t="str">
        <f aca="false">IFERROR(IF(AE80="","",AE80*AF80),"")</f>
        <v/>
      </c>
      <c r="AH80" s="72"/>
      <c r="AI80" s="72"/>
      <c r="AJ80" s="74" t="str">
        <f aca="false">IFERROR(IF(AH80="","",AH80*AI80),"")</f>
        <v/>
      </c>
      <c r="AK80" s="72"/>
      <c r="AL80" s="72"/>
      <c r="AM80" s="74" t="str">
        <f aca="false">IFERROR(IF(AK80="","",AK80*AL80),"")</f>
        <v/>
      </c>
      <c r="AN80" s="72"/>
    </row>
    <row r="81" customFormat="false" ht="15.75" hidden="false" customHeight="true" outlineLevel="0" collapsed="false">
      <c r="A81" s="62" t="n">
        <v>74</v>
      </c>
      <c r="B81" s="75"/>
      <c r="C81" s="76"/>
      <c r="D81" s="75"/>
      <c r="E81" s="75"/>
      <c r="F81" s="77" t="str">
        <f aca="false">IFERROR(IF(D81="","",D81*E81),"")</f>
        <v/>
      </c>
      <c r="G81" s="75"/>
      <c r="H81" s="75"/>
      <c r="I81" s="77" t="str">
        <f aca="false">IFERROR(IF(G81="","",G81*H81),"")</f>
        <v/>
      </c>
      <c r="J81" s="75"/>
      <c r="K81" s="75"/>
      <c r="L81" s="77" t="str">
        <f aca="false">IFERROR(IF(J81="","",J81*K81),"")</f>
        <v/>
      </c>
      <c r="M81" s="75"/>
      <c r="N81" s="75"/>
      <c r="O81" s="77" t="str">
        <f aca="false">IFERROR(IF(M81="","",M81*N81),"")</f>
        <v/>
      </c>
      <c r="P81" s="75"/>
      <c r="Q81" s="75"/>
      <c r="R81" s="77" t="str">
        <f aca="false">IFERROR(IF(P81="","",P81*Q81),"")</f>
        <v/>
      </c>
      <c r="S81" s="75"/>
      <c r="T81" s="75"/>
      <c r="U81" s="77" t="str">
        <f aca="false">IFERROR(IF(S81="","",S81*T81),"")</f>
        <v/>
      </c>
      <c r="V81" s="75"/>
      <c r="W81" s="75"/>
      <c r="X81" s="77" t="str">
        <f aca="false">IFERROR(IF(V81="","",V81*W81),"")</f>
        <v/>
      </c>
      <c r="Y81" s="75"/>
      <c r="Z81" s="75"/>
      <c r="AA81" s="77" t="str">
        <f aca="false">IFERROR(IF(Y81="","",Y81*Z81),"")</f>
        <v/>
      </c>
      <c r="AB81" s="75"/>
      <c r="AC81" s="75"/>
      <c r="AD81" s="77" t="str">
        <f aca="false">IFERROR(IF(AB81="","",AB81*AC81),"")</f>
        <v/>
      </c>
      <c r="AE81" s="75"/>
      <c r="AF81" s="75"/>
      <c r="AG81" s="77" t="str">
        <f aca="false">IFERROR(IF(AE81="","",AE81*AF81),"")</f>
        <v/>
      </c>
      <c r="AH81" s="75"/>
      <c r="AI81" s="75"/>
      <c r="AJ81" s="77" t="str">
        <f aca="false">IFERROR(IF(AH81="","",AH81*AI81),"")</f>
        <v/>
      </c>
      <c r="AK81" s="75"/>
      <c r="AL81" s="75"/>
      <c r="AM81" s="77" t="str">
        <f aca="false">IFERROR(IF(AK81="","",AK81*AL81),"")</f>
        <v/>
      </c>
      <c r="AN81" s="75"/>
    </row>
    <row r="82" customFormat="false" ht="15.75" hidden="false" customHeight="true" outlineLevel="0" collapsed="false">
      <c r="A82" s="60" t="n">
        <v>75</v>
      </c>
      <c r="B82" s="72"/>
      <c r="C82" s="73"/>
      <c r="D82" s="72"/>
      <c r="E82" s="72"/>
      <c r="F82" s="74" t="str">
        <f aca="false">IFERROR(IF(D82="","",D82*E82),"")</f>
        <v/>
      </c>
      <c r="G82" s="72"/>
      <c r="H82" s="72"/>
      <c r="I82" s="74" t="str">
        <f aca="false">IFERROR(IF(G82="","",G82*H82),"")</f>
        <v/>
      </c>
      <c r="J82" s="72"/>
      <c r="K82" s="72"/>
      <c r="L82" s="74" t="str">
        <f aca="false">IFERROR(IF(J82="","",J82*K82),"")</f>
        <v/>
      </c>
      <c r="M82" s="72"/>
      <c r="N82" s="72"/>
      <c r="O82" s="74" t="str">
        <f aca="false">IFERROR(IF(M82="","",M82*N82),"")</f>
        <v/>
      </c>
      <c r="P82" s="72"/>
      <c r="Q82" s="72"/>
      <c r="R82" s="74" t="str">
        <f aca="false">IFERROR(IF(P82="","",P82*Q82),"")</f>
        <v/>
      </c>
      <c r="S82" s="72"/>
      <c r="T82" s="72"/>
      <c r="U82" s="74" t="str">
        <f aca="false">IFERROR(IF(S82="","",S82*T82),"")</f>
        <v/>
      </c>
      <c r="V82" s="72"/>
      <c r="W82" s="72"/>
      <c r="X82" s="74" t="str">
        <f aca="false">IFERROR(IF(V82="","",V82*W82),"")</f>
        <v/>
      </c>
      <c r="Y82" s="72"/>
      <c r="Z82" s="72"/>
      <c r="AA82" s="74" t="str">
        <f aca="false">IFERROR(IF(Y82="","",Y82*Z82),"")</f>
        <v/>
      </c>
      <c r="AB82" s="72"/>
      <c r="AC82" s="72"/>
      <c r="AD82" s="74" t="str">
        <f aca="false">IFERROR(IF(AB82="","",AB82*AC82),"")</f>
        <v/>
      </c>
      <c r="AE82" s="72"/>
      <c r="AF82" s="72"/>
      <c r="AG82" s="74" t="str">
        <f aca="false">IFERROR(IF(AE82="","",AE82*AF82),"")</f>
        <v/>
      </c>
      <c r="AH82" s="72"/>
      <c r="AI82" s="72"/>
      <c r="AJ82" s="74" t="str">
        <f aca="false">IFERROR(IF(AH82="","",AH82*AI82),"")</f>
        <v/>
      </c>
      <c r="AK82" s="72"/>
      <c r="AL82" s="72"/>
      <c r="AM82" s="74" t="str">
        <f aca="false">IFERROR(IF(AK82="","",AK82*AL82),"")</f>
        <v/>
      </c>
      <c r="AN82" s="72"/>
    </row>
    <row r="83" customFormat="false" ht="15.75" hidden="false" customHeight="true" outlineLevel="0" collapsed="false">
      <c r="A83" s="62" t="n">
        <v>76</v>
      </c>
      <c r="B83" s="75"/>
      <c r="C83" s="76"/>
      <c r="D83" s="75"/>
      <c r="E83" s="75"/>
      <c r="F83" s="77" t="str">
        <f aca="false">IFERROR(IF(D83="","",D83*E83),"")</f>
        <v/>
      </c>
      <c r="G83" s="75"/>
      <c r="H83" s="75"/>
      <c r="I83" s="77" t="str">
        <f aca="false">IFERROR(IF(G83="","",G83*H83),"")</f>
        <v/>
      </c>
      <c r="J83" s="75"/>
      <c r="K83" s="75"/>
      <c r="L83" s="77" t="str">
        <f aca="false">IFERROR(IF(J83="","",J83*K83),"")</f>
        <v/>
      </c>
      <c r="M83" s="75"/>
      <c r="N83" s="75"/>
      <c r="O83" s="77" t="str">
        <f aca="false">IFERROR(IF(M83="","",M83*N83),"")</f>
        <v/>
      </c>
      <c r="P83" s="75"/>
      <c r="Q83" s="75"/>
      <c r="R83" s="77" t="str">
        <f aca="false">IFERROR(IF(P83="","",P83*Q83),"")</f>
        <v/>
      </c>
      <c r="S83" s="75"/>
      <c r="T83" s="75"/>
      <c r="U83" s="77" t="str">
        <f aca="false">IFERROR(IF(S83="","",S83*T83),"")</f>
        <v/>
      </c>
      <c r="V83" s="75"/>
      <c r="W83" s="75"/>
      <c r="X83" s="77" t="str">
        <f aca="false">IFERROR(IF(V83="","",V83*W83),"")</f>
        <v/>
      </c>
      <c r="Y83" s="75"/>
      <c r="Z83" s="75"/>
      <c r="AA83" s="77" t="str">
        <f aca="false">IFERROR(IF(Y83="","",Y83*Z83),"")</f>
        <v/>
      </c>
      <c r="AB83" s="75"/>
      <c r="AC83" s="75"/>
      <c r="AD83" s="77" t="str">
        <f aca="false">IFERROR(IF(AB83="","",AB83*AC83),"")</f>
        <v/>
      </c>
      <c r="AE83" s="75"/>
      <c r="AF83" s="75"/>
      <c r="AG83" s="77" t="str">
        <f aca="false">IFERROR(IF(AE83="","",AE83*AF83),"")</f>
        <v/>
      </c>
      <c r="AH83" s="75"/>
      <c r="AI83" s="75"/>
      <c r="AJ83" s="77" t="str">
        <f aca="false">IFERROR(IF(AH83="","",AH83*AI83),"")</f>
        <v/>
      </c>
      <c r="AK83" s="75"/>
      <c r="AL83" s="75"/>
      <c r="AM83" s="77" t="str">
        <f aca="false">IFERROR(IF(AK83="","",AK83*AL83),"")</f>
        <v/>
      </c>
      <c r="AN83" s="75"/>
    </row>
    <row r="84" customFormat="false" ht="15.75" hidden="false" customHeight="true" outlineLevel="0" collapsed="false">
      <c r="A84" s="60" t="n">
        <v>77</v>
      </c>
      <c r="B84" s="72"/>
      <c r="C84" s="73"/>
      <c r="D84" s="72"/>
      <c r="E84" s="72"/>
      <c r="F84" s="74" t="str">
        <f aca="false">IFERROR(IF(D84="","",D84*E84),"")</f>
        <v/>
      </c>
      <c r="G84" s="72"/>
      <c r="H84" s="72"/>
      <c r="I84" s="74" t="str">
        <f aca="false">IFERROR(IF(G84="","",G84*H84),"")</f>
        <v/>
      </c>
      <c r="J84" s="72"/>
      <c r="K84" s="72"/>
      <c r="L84" s="74" t="str">
        <f aca="false">IFERROR(IF(J84="","",J84*K84),"")</f>
        <v/>
      </c>
      <c r="M84" s="72"/>
      <c r="N84" s="72"/>
      <c r="O84" s="74" t="str">
        <f aca="false">IFERROR(IF(M84="","",M84*N84),"")</f>
        <v/>
      </c>
      <c r="P84" s="72"/>
      <c r="Q84" s="72"/>
      <c r="R84" s="74" t="str">
        <f aca="false">IFERROR(IF(P84="","",P84*Q84),"")</f>
        <v/>
      </c>
      <c r="S84" s="72"/>
      <c r="T84" s="72"/>
      <c r="U84" s="74" t="str">
        <f aca="false">IFERROR(IF(S84="","",S84*T84),"")</f>
        <v/>
      </c>
      <c r="V84" s="72"/>
      <c r="W84" s="72"/>
      <c r="X84" s="74" t="str">
        <f aca="false">IFERROR(IF(V84="","",V84*W84),"")</f>
        <v/>
      </c>
      <c r="Y84" s="72"/>
      <c r="Z84" s="72"/>
      <c r="AA84" s="74" t="str">
        <f aca="false">IFERROR(IF(Y84="","",Y84*Z84),"")</f>
        <v/>
      </c>
      <c r="AB84" s="72"/>
      <c r="AC84" s="72"/>
      <c r="AD84" s="74" t="str">
        <f aca="false">IFERROR(IF(AB84="","",AB84*AC84),"")</f>
        <v/>
      </c>
      <c r="AE84" s="72"/>
      <c r="AF84" s="72"/>
      <c r="AG84" s="74" t="str">
        <f aca="false">IFERROR(IF(AE84="","",AE84*AF84),"")</f>
        <v/>
      </c>
      <c r="AH84" s="72"/>
      <c r="AI84" s="72"/>
      <c r="AJ84" s="74" t="str">
        <f aca="false">IFERROR(IF(AH84="","",AH84*AI84),"")</f>
        <v/>
      </c>
      <c r="AK84" s="72"/>
      <c r="AL84" s="72"/>
      <c r="AM84" s="74" t="str">
        <f aca="false">IFERROR(IF(AK84="","",AK84*AL84),"")</f>
        <v/>
      </c>
      <c r="AN84" s="72"/>
    </row>
    <row r="85" customFormat="false" ht="15.75" hidden="false" customHeight="true" outlineLevel="0" collapsed="false">
      <c r="A85" s="62" t="n">
        <v>78</v>
      </c>
      <c r="B85" s="75"/>
      <c r="C85" s="76"/>
      <c r="D85" s="75"/>
      <c r="E85" s="75"/>
      <c r="F85" s="77" t="str">
        <f aca="false">IFERROR(IF(D85="","",D85*E85),"")</f>
        <v/>
      </c>
      <c r="G85" s="75"/>
      <c r="H85" s="75"/>
      <c r="I85" s="77" t="str">
        <f aca="false">IFERROR(IF(G85="","",G85*H85),"")</f>
        <v/>
      </c>
      <c r="J85" s="75"/>
      <c r="K85" s="75"/>
      <c r="L85" s="77" t="str">
        <f aca="false">IFERROR(IF(J85="","",J85*K85),"")</f>
        <v/>
      </c>
      <c r="M85" s="75"/>
      <c r="N85" s="75"/>
      <c r="O85" s="77" t="str">
        <f aca="false">IFERROR(IF(M85="","",M85*N85),"")</f>
        <v/>
      </c>
      <c r="P85" s="75"/>
      <c r="Q85" s="75"/>
      <c r="R85" s="77" t="str">
        <f aca="false">IFERROR(IF(P85="","",P85*Q85),"")</f>
        <v/>
      </c>
      <c r="S85" s="75"/>
      <c r="T85" s="75"/>
      <c r="U85" s="77" t="str">
        <f aca="false">IFERROR(IF(S85="","",S85*T85),"")</f>
        <v/>
      </c>
      <c r="V85" s="75"/>
      <c r="W85" s="75"/>
      <c r="X85" s="77" t="str">
        <f aca="false">IFERROR(IF(V85="","",V85*W85),"")</f>
        <v/>
      </c>
      <c r="Y85" s="75"/>
      <c r="Z85" s="75"/>
      <c r="AA85" s="77" t="str">
        <f aca="false">IFERROR(IF(Y85="","",Y85*Z85),"")</f>
        <v/>
      </c>
      <c r="AB85" s="75"/>
      <c r="AC85" s="75"/>
      <c r="AD85" s="77" t="str">
        <f aca="false">IFERROR(IF(AB85="","",AB85*AC85),"")</f>
        <v/>
      </c>
      <c r="AE85" s="75"/>
      <c r="AF85" s="75"/>
      <c r="AG85" s="77" t="str">
        <f aca="false">IFERROR(IF(AE85="","",AE85*AF85),"")</f>
        <v/>
      </c>
      <c r="AH85" s="75"/>
      <c r="AI85" s="75"/>
      <c r="AJ85" s="77" t="str">
        <f aca="false">IFERROR(IF(AH85="","",AH85*AI85),"")</f>
        <v/>
      </c>
      <c r="AK85" s="75"/>
      <c r="AL85" s="75"/>
      <c r="AM85" s="77" t="str">
        <f aca="false">IFERROR(IF(AK85="","",AK85*AL85),"")</f>
        <v/>
      </c>
      <c r="AN85" s="75"/>
    </row>
    <row r="86" customFormat="false" ht="15.75" hidden="false" customHeight="true" outlineLevel="0" collapsed="false">
      <c r="A86" s="60" t="n">
        <v>79</v>
      </c>
      <c r="B86" s="72"/>
      <c r="C86" s="73"/>
      <c r="D86" s="72"/>
      <c r="E86" s="72"/>
      <c r="F86" s="74" t="str">
        <f aca="false">IFERROR(IF(D86="","",D86*E86),"")</f>
        <v/>
      </c>
      <c r="G86" s="72"/>
      <c r="H86" s="72"/>
      <c r="I86" s="74" t="str">
        <f aca="false">IFERROR(IF(G86="","",G86*H86),"")</f>
        <v/>
      </c>
      <c r="J86" s="72"/>
      <c r="K86" s="72"/>
      <c r="L86" s="74" t="str">
        <f aca="false">IFERROR(IF(J86="","",J86*K86),"")</f>
        <v/>
      </c>
      <c r="M86" s="72"/>
      <c r="N86" s="72"/>
      <c r="O86" s="74" t="str">
        <f aca="false">IFERROR(IF(M86="","",M86*N86),"")</f>
        <v/>
      </c>
      <c r="P86" s="72"/>
      <c r="Q86" s="72"/>
      <c r="R86" s="74" t="str">
        <f aca="false">IFERROR(IF(P86="","",P86*Q86),"")</f>
        <v/>
      </c>
      <c r="S86" s="72"/>
      <c r="T86" s="72"/>
      <c r="U86" s="74" t="str">
        <f aca="false">IFERROR(IF(S86="","",S86*T86),"")</f>
        <v/>
      </c>
      <c r="V86" s="72"/>
      <c r="W86" s="72"/>
      <c r="X86" s="74" t="str">
        <f aca="false">IFERROR(IF(V86="","",V86*W86),"")</f>
        <v/>
      </c>
      <c r="Y86" s="72"/>
      <c r="Z86" s="72"/>
      <c r="AA86" s="74" t="str">
        <f aca="false">IFERROR(IF(Y86="","",Y86*Z86),"")</f>
        <v/>
      </c>
      <c r="AB86" s="72"/>
      <c r="AC86" s="72"/>
      <c r="AD86" s="74" t="str">
        <f aca="false">IFERROR(IF(AB86="","",AB86*AC86),"")</f>
        <v/>
      </c>
      <c r="AE86" s="72"/>
      <c r="AF86" s="72"/>
      <c r="AG86" s="74" t="str">
        <f aca="false">IFERROR(IF(AE86="","",AE86*AF86),"")</f>
        <v/>
      </c>
      <c r="AH86" s="72"/>
      <c r="AI86" s="72"/>
      <c r="AJ86" s="74" t="str">
        <f aca="false">IFERROR(IF(AH86="","",AH86*AI86),"")</f>
        <v/>
      </c>
      <c r="AK86" s="72"/>
      <c r="AL86" s="72"/>
      <c r="AM86" s="74" t="str">
        <f aca="false">IFERROR(IF(AK86="","",AK86*AL86),"")</f>
        <v/>
      </c>
      <c r="AN86" s="72"/>
    </row>
    <row r="87" customFormat="false" ht="15.75" hidden="false" customHeight="true" outlineLevel="0" collapsed="false">
      <c r="A87" s="62" t="n">
        <v>80</v>
      </c>
      <c r="B87" s="75"/>
      <c r="C87" s="76"/>
      <c r="D87" s="75"/>
      <c r="E87" s="75"/>
      <c r="F87" s="77" t="str">
        <f aca="false">IFERROR(IF(D87="","",D87*E87),"")</f>
        <v/>
      </c>
      <c r="G87" s="75"/>
      <c r="H87" s="75"/>
      <c r="I87" s="77" t="str">
        <f aca="false">IFERROR(IF(G87="","",G87*H87),"")</f>
        <v/>
      </c>
      <c r="J87" s="75"/>
      <c r="K87" s="75"/>
      <c r="L87" s="77" t="str">
        <f aca="false">IFERROR(IF(J87="","",J87*K87),"")</f>
        <v/>
      </c>
      <c r="M87" s="75"/>
      <c r="N87" s="75"/>
      <c r="O87" s="77" t="str">
        <f aca="false">IFERROR(IF(M87="","",M87*N87),"")</f>
        <v/>
      </c>
      <c r="P87" s="75"/>
      <c r="Q87" s="75"/>
      <c r="R87" s="77" t="str">
        <f aca="false">IFERROR(IF(P87="","",P87*Q87),"")</f>
        <v/>
      </c>
      <c r="S87" s="75"/>
      <c r="T87" s="75"/>
      <c r="U87" s="77" t="str">
        <f aca="false">IFERROR(IF(S87="","",S87*T87),"")</f>
        <v/>
      </c>
      <c r="V87" s="75"/>
      <c r="W87" s="75"/>
      <c r="X87" s="77" t="str">
        <f aca="false">IFERROR(IF(V87="","",V87*W87),"")</f>
        <v/>
      </c>
      <c r="Y87" s="75"/>
      <c r="Z87" s="75"/>
      <c r="AA87" s="77" t="str">
        <f aca="false">IFERROR(IF(Y87="","",Y87*Z87),"")</f>
        <v/>
      </c>
      <c r="AB87" s="75"/>
      <c r="AC87" s="75"/>
      <c r="AD87" s="77" t="str">
        <f aca="false">IFERROR(IF(AB87="","",AB87*AC87),"")</f>
        <v/>
      </c>
      <c r="AE87" s="75"/>
      <c r="AF87" s="75"/>
      <c r="AG87" s="77" t="str">
        <f aca="false">IFERROR(IF(AE87="","",AE87*AF87),"")</f>
        <v/>
      </c>
      <c r="AH87" s="75"/>
      <c r="AI87" s="75"/>
      <c r="AJ87" s="77" t="str">
        <f aca="false">IFERROR(IF(AH87="","",AH87*AI87),"")</f>
        <v/>
      </c>
      <c r="AK87" s="75"/>
      <c r="AL87" s="75"/>
      <c r="AM87" s="77" t="str">
        <f aca="false">IFERROR(IF(AK87="","",AK87*AL87),"")</f>
        <v/>
      </c>
      <c r="AN87" s="75"/>
    </row>
    <row r="88" customFormat="false" ht="15.75" hidden="false" customHeight="true" outlineLevel="0" collapsed="false">
      <c r="A88" s="60" t="n">
        <v>81</v>
      </c>
      <c r="B88" s="72"/>
      <c r="C88" s="73"/>
      <c r="D88" s="72"/>
      <c r="E88" s="72"/>
      <c r="F88" s="74" t="str">
        <f aca="false">IFERROR(IF(D88="","",D88*E88),"")</f>
        <v/>
      </c>
      <c r="G88" s="72"/>
      <c r="H88" s="72"/>
      <c r="I88" s="74" t="str">
        <f aca="false">IFERROR(IF(G88="","",G88*H88),"")</f>
        <v/>
      </c>
      <c r="J88" s="72"/>
      <c r="K88" s="72"/>
      <c r="L88" s="74" t="str">
        <f aca="false">IFERROR(IF(J88="","",J88*K88),"")</f>
        <v/>
      </c>
      <c r="M88" s="72"/>
      <c r="N88" s="72"/>
      <c r="O88" s="74" t="str">
        <f aca="false">IFERROR(IF(M88="","",M88*N88),"")</f>
        <v/>
      </c>
      <c r="P88" s="72"/>
      <c r="Q88" s="72"/>
      <c r="R88" s="74" t="str">
        <f aca="false">IFERROR(IF(P88="","",P88*Q88),"")</f>
        <v/>
      </c>
      <c r="S88" s="72"/>
      <c r="T88" s="72"/>
      <c r="U88" s="74" t="str">
        <f aca="false">IFERROR(IF(S88="","",S88*T88),"")</f>
        <v/>
      </c>
      <c r="V88" s="72"/>
      <c r="W88" s="72"/>
      <c r="X88" s="74" t="str">
        <f aca="false">IFERROR(IF(V88="","",V88*W88),"")</f>
        <v/>
      </c>
      <c r="Y88" s="72"/>
      <c r="Z88" s="72"/>
      <c r="AA88" s="74" t="str">
        <f aca="false">IFERROR(IF(Y88="","",Y88*Z88),"")</f>
        <v/>
      </c>
      <c r="AB88" s="72"/>
      <c r="AC88" s="72"/>
      <c r="AD88" s="74" t="str">
        <f aca="false">IFERROR(IF(AB88="","",AB88*AC88),"")</f>
        <v/>
      </c>
      <c r="AE88" s="72"/>
      <c r="AF88" s="72"/>
      <c r="AG88" s="74" t="str">
        <f aca="false">IFERROR(IF(AE88="","",AE88*AF88),"")</f>
        <v/>
      </c>
      <c r="AH88" s="72"/>
      <c r="AI88" s="72"/>
      <c r="AJ88" s="74" t="str">
        <f aca="false">IFERROR(IF(AH88="","",AH88*AI88),"")</f>
        <v/>
      </c>
      <c r="AK88" s="72"/>
      <c r="AL88" s="72"/>
      <c r="AM88" s="74" t="str">
        <f aca="false">IFERROR(IF(AK88="","",AK88*AL88),"")</f>
        <v/>
      </c>
      <c r="AN88" s="72"/>
    </row>
    <row r="89" customFormat="false" ht="15.75" hidden="false" customHeight="true" outlineLevel="0" collapsed="false">
      <c r="A89" s="62" t="n">
        <v>82</v>
      </c>
      <c r="B89" s="75"/>
      <c r="C89" s="76"/>
      <c r="D89" s="75"/>
      <c r="E89" s="75"/>
      <c r="F89" s="77" t="str">
        <f aca="false">IFERROR(IF(D89="","",D89*E89),"")</f>
        <v/>
      </c>
      <c r="G89" s="75"/>
      <c r="H89" s="75"/>
      <c r="I89" s="77" t="str">
        <f aca="false">IFERROR(IF(G89="","",G89*H89),"")</f>
        <v/>
      </c>
      <c r="J89" s="75"/>
      <c r="K89" s="75"/>
      <c r="L89" s="77" t="str">
        <f aca="false">IFERROR(IF(J89="","",J89*K89),"")</f>
        <v/>
      </c>
      <c r="M89" s="75"/>
      <c r="N89" s="75"/>
      <c r="O89" s="77" t="str">
        <f aca="false">IFERROR(IF(M89="","",M89*N89),"")</f>
        <v/>
      </c>
      <c r="P89" s="75"/>
      <c r="Q89" s="75"/>
      <c r="R89" s="77" t="str">
        <f aca="false">IFERROR(IF(P89="","",P89*Q89),"")</f>
        <v/>
      </c>
      <c r="S89" s="75"/>
      <c r="T89" s="75"/>
      <c r="U89" s="77" t="str">
        <f aca="false">IFERROR(IF(S89="","",S89*T89),"")</f>
        <v/>
      </c>
      <c r="V89" s="75"/>
      <c r="W89" s="75"/>
      <c r="X89" s="77" t="str">
        <f aca="false">IFERROR(IF(V89="","",V89*W89),"")</f>
        <v/>
      </c>
      <c r="Y89" s="75"/>
      <c r="Z89" s="75"/>
      <c r="AA89" s="77" t="str">
        <f aca="false">IFERROR(IF(Y89="","",Y89*Z89),"")</f>
        <v/>
      </c>
      <c r="AB89" s="75"/>
      <c r="AC89" s="75"/>
      <c r="AD89" s="77" t="str">
        <f aca="false">IFERROR(IF(AB89="","",AB89*AC89),"")</f>
        <v/>
      </c>
      <c r="AE89" s="75"/>
      <c r="AF89" s="75"/>
      <c r="AG89" s="77" t="str">
        <f aca="false">IFERROR(IF(AE89="","",AE89*AF89),"")</f>
        <v/>
      </c>
      <c r="AH89" s="75"/>
      <c r="AI89" s="75"/>
      <c r="AJ89" s="77" t="str">
        <f aca="false">IFERROR(IF(AH89="","",AH89*AI89),"")</f>
        <v/>
      </c>
      <c r="AK89" s="75"/>
      <c r="AL89" s="75"/>
      <c r="AM89" s="77" t="str">
        <f aca="false">IFERROR(IF(AK89="","",AK89*AL89),"")</f>
        <v/>
      </c>
      <c r="AN89" s="75"/>
    </row>
    <row r="90" customFormat="false" ht="15.75" hidden="false" customHeight="true" outlineLevel="0" collapsed="false">
      <c r="A90" s="60" t="n">
        <v>83</v>
      </c>
      <c r="B90" s="72"/>
      <c r="C90" s="73"/>
      <c r="D90" s="72"/>
      <c r="E90" s="72"/>
      <c r="F90" s="74" t="str">
        <f aca="false">IFERROR(IF(D90="","",D90*E90),"")</f>
        <v/>
      </c>
      <c r="G90" s="72"/>
      <c r="H90" s="72"/>
      <c r="I90" s="74" t="str">
        <f aca="false">IFERROR(IF(G90="","",G90*H90),"")</f>
        <v/>
      </c>
      <c r="J90" s="72"/>
      <c r="K90" s="72"/>
      <c r="L90" s="74" t="str">
        <f aca="false">IFERROR(IF(J90="","",J90*K90),"")</f>
        <v/>
      </c>
      <c r="M90" s="72"/>
      <c r="N90" s="72"/>
      <c r="O90" s="74" t="str">
        <f aca="false">IFERROR(IF(M90="","",M90*N90),"")</f>
        <v/>
      </c>
      <c r="P90" s="72"/>
      <c r="Q90" s="72"/>
      <c r="R90" s="74" t="str">
        <f aca="false">IFERROR(IF(P90="","",P90*Q90),"")</f>
        <v/>
      </c>
      <c r="S90" s="72"/>
      <c r="T90" s="72"/>
      <c r="U90" s="74" t="str">
        <f aca="false">IFERROR(IF(S90="","",S90*T90),"")</f>
        <v/>
      </c>
      <c r="V90" s="72"/>
      <c r="W90" s="72"/>
      <c r="X90" s="74" t="str">
        <f aca="false">IFERROR(IF(V90="","",V90*W90),"")</f>
        <v/>
      </c>
      <c r="Y90" s="72"/>
      <c r="Z90" s="72"/>
      <c r="AA90" s="74" t="str">
        <f aca="false">IFERROR(IF(Y90="","",Y90*Z90),"")</f>
        <v/>
      </c>
      <c r="AB90" s="72"/>
      <c r="AC90" s="72"/>
      <c r="AD90" s="74" t="str">
        <f aca="false">IFERROR(IF(AB90="","",AB90*AC90),"")</f>
        <v/>
      </c>
      <c r="AE90" s="72"/>
      <c r="AF90" s="72"/>
      <c r="AG90" s="74" t="str">
        <f aca="false">IFERROR(IF(AE90="","",AE90*AF90),"")</f>
        <v/>
      </c>
      <c r="AH90" s="72"/>
      <c r="AI90" s="72"/>
      <c r="AJ90" s="74" t="str">
        <f aca="false">IFERROR(IF(AH90="","",AH90*AI90),"")</f>
        <v/>
      </c>
      <c r="AK90" s="72"/>
      <c r="AL90" s="72"/>
      <c r="AM90" s="74" t="str">
        <f aca="false">IFERROR(IF(AK90="","",AK90*AL90),"")</f>
        <v/>
      </c>
      <c r="AN90" s="72"/>
    </row>
    <row r="91" customFormat="false" ht="15.75" hidden="false" customHeight="true" outlineLevel="0" collapsed="false">
      <c r="A91" s="62" t="n">
        <v>84</v>
      </c>
      <c r="B91" s="75"/>
      <c r="C91" s="76"/>
      <c r="D91" s="75"/>
      <c r="E91" s="75"/>
      <c r="F91" s="77" t="str">
        <f aca="false">IFERROR(IF(D91="","",D91*E91),"")</f>
        <v/>
      </c>
      <c r="G91" s="75"/>
      <c r="H91" s="75"/>
      <c r="I91" s="77" t="str">
        <f aca="false">IFERROR(IF(G91="","",G91*H91),"")</f>
        <v/>
      </c>
      <c r="J91" s="75"/>
      <c r="K91" s="75"/>
      <c r="L91" s="77" t="str">
        <f aca="false">IFERROR(IF(J91="","",J91*K91),"")</f>
        <v/>
      </c>
      <c r="M91" s="75"/>
      <c r="N91" s="75"/>
      <c r="O91" s="77" t="str">
        <f aca="false">IFERROR(IF(M91="","",M91*N91),"")</f>
        <v/>
      </c>
      <c r="P91" s="75"/>
      <c r="Q91" s="75"/>
      <c r="R91" s="77" t="str">
        <f aca="false">IFERROR(IF(P91="","",P91*Q91),"")</f>
        <v/>
      </c>
      <c r="S91" s="75"/>
      <c r="T91" s="75"/>
      <c r="U91" s="77" t="str">
        <f aca="false">IFERROR(IF(S91="","",S91*T91),"")</f>
        <v/>
      </c>
      <c r="V91" s="75"/>
      <c r="W91" s="75"/>
      <c r="X91" s="77" t="str">
        <f aca="false">IFERROR(IF(V91="","",V91*W91),"")</f>
        <v/>
      </c>
      <c r="Y91" s="75"/>
      <c r="Z91" s="75"/>
      <c r="AA91" s="77" t="str">
        <f aca="false">IFERROR(IF(Y91="","",Y91*Z91),"")</f>
        <v/>
      </c>
      <c r="AB91" s="75"/>
      <c r="AC91" s="75"/>
      <c r="AD91" s="77" t="str">
        <f aca="false">IFERROR(IF(AB91="","",AB91*AC91),"")</f>
        <v/>
      </c>
      <c r="AE91" s="75"/>
      <c r="AF91" s="75"/>
      <c r="AG91" s="77" t="str">
        <f aca="false">IFERROR(IF(AE91="","",AE91*AF91),"")</f>
        <v/>
      </c>
      <c r="AH91" s="75"/>
      <c r="AI91" s="75"/>
      <c r="AJ91" s="77" t="str">
        <f aca="false">IFERROR(IF(AH91="","",AH91*AI91),"")</f>
        <v/>
      </c>
      <c r="AK91" s="75"/>
      <c r="AL91" s="75"/>
      <c r="AM91" s="77" t="str">
        <f aca="false">IFERROR(IF(AK91="","",AK91*AL91),"")</f>
        <v/>
      </c>
      <c r="AN91" s="75"/>
    </row>
    <row r="92" customFormat="false" ht="15.75" hidden="false" customHeight="true" outlineLevel="0" collapsed="false">
      <c r="A92" s="60" t="n">
        <v>85</v>
      </c>
      <c r="B92" s="72"/>
      <c r="C92" s="73"/>
      <c r="D92" s="72"/>
      <c r="E92" s="72"/>
      <c r="F92" s="74" t="str">
        <f aca="false">IFERROR(IF(D92="","",D92*E92),"")</f>
        <v/>
      </c>
      <c r="G92" s="72"/>
      <c r="H92" s="72"/>
      <c r="I92" s="74" t="str">
        <f aca="false">IFERROR(IF(G92="","",G92*H92),"")</f>
        <v/>
      </c>
      <c r="J92" s="72"/>
      <c r="K92" s="72"/>
      <c r="L92" s="74" t="str">
        <f aca="false">IFERROR(IF(J92="","",J92*K92),"")</f>
        <v/>
      </c>
      <c r="M92" s="72"/>
      <c r="N92" s="72"/>
      <c r="O92" s="74" t="str">
        <f aca="false">IFERROR(IF(M92="","",M92*N92),"")</f>
        <v/>
      </c>
      <c r="P92" s="72"/>
      <c r="Q92" s="72"/>
      <c r="R92" s="74" t="str">
        <f aca="false">IFERROR(IF(P92="","",P92*Q92),"")</f>
        <v/>
      </c>
      <c r="S92" s="72"/>
      <c r="T92" s="72"/>
      <c r="U92" s="74" t="str">
        <f aca="false">IFERROR(IF(S92="","",S92*T92),"")</f>
        <v/>
      </c>
      <c r="V92" s="72"/>
      <c r="W92" s="72"/>
      <c r="X92" s="74" t="str">
        <f aca="false">IFERROR(IF(V92="","",V92*W92),"")</f>
        <v/>
      </c>
      <c r="Y92" s="72"/>
      <c r="Z92" s="72"/>
      <c r="AA92" s="74" t="str">
        <f aca="false">IFERROR(IF(Y92="","",Y92*Z92),"")</f>
        <v/>
      </c>
      <c r="AB92" s="72"/>
      <c r="AC92" s="72"/>
      <c r="AD92" s="74" t="str">
        <f aca="false">IFERROR(IF(AB92="","",AB92*AC92),"")</f>
        <v/>
      </c>
      <c r="AE92" s="72"/>
      <c r="AF92" s="72"/>
      <c r="AG92" s="74" t="str">
        <f aca="false">IFERROR(IF(AE92="","",AE92*AF92),"")</f>
        <v/>
      </c>
      <c r="AH92" s="72"/>
      <c r="AI92" s="72"/>
      <c r="AJ92" s="74" t="str">
        <f aca="false">IFERROR(IF(AH92="","",AH92*AI92),"")</f>
        <v/>
      </c>
      <c r="AK92" s="72"/>
      <c r="AL92" s="72"/>
      <c r="AM92" s="74" t="str">
        <f aca="false">IFERROR(IF(AK92="","",AK92*AL92),"")</f>
        <v/>
      </c>
      <c r="AN92" s="72"/>
    </row>
    <row r="93" customFormat="false" ht="15.75" hidden="false" customHeight="true" outlineLevel="0" collapsed="false">
      <c r="A93" s="62" t="n">
        <v>86</v>
      </c>
      <c r="B93" s="75"/>
      <c r="C93" s="76"/>
      <c r="D93" s="75"/>
      <c r="E93" s="75"/>
      <c r="F93" s="77" t="str">
        <f aca="false">IFERROR(IF(D93="","",D93*E93),"")</f>
        <v/>
      </c>
      <c r="G93" s="75"/>
      <c r="H93" s="75"/>
      <c r="I93" s="77" t="str">
        <f aca="false">IFERROR(IF(G93="","",G93*H93),"")</f>
        <v/>
      </c>
      <c r="J93" s="75"/>
      <c r="K93" s="75"/>
      <c r="L93" s="77" t="str">
        <f aca="false">IFERROR(IF(J93="","",J93*K93),"")</f>
        <v/>
      </c>
      <c r="M93" s="75"/>
      <c r="N93" s="75"/>
      <c r="O93" s="77" t="str">
        <f aca="false">IFERROR(IF(M93="","",M93*N93),"")</f>
        <v/>
      </c>
      <c r="P93" s="75"/>
      <c r="Q93" s="75"/>
      <c r="R93" s="77" t="str">
        <f aca="false">IFERROR(IF(P93="","",P93*Q93),"")</f>
        <v/>
      </c>
      <c r="S93" s="75"/>
      <c r="T93" s="75"/>
      <c r="U93" s="77" t="str">
        <f aca="false">IFERROR(IF(S93="","",S93*T93),"")</f>
        <v/>
      </c>
      <c r="V93" s="75"/>
      <c r="W93" s="75"/>
      <c r="X93" s="77" t="str">
        <f aca="false">IFERROR(IF(V93="","",V93*W93),"")</f>
        <v/>
      </c>
      <c r="Y93" s="75"/>
      <c r="Z93" s="75"/>
      <c r="AA93" s="77" t="str">
        <f aca="false">IFERROR(IF(Y93="","",Y93*Z93),"")</f>
        <v/>
      </c>
      <c r="AB93" s="75"/>
      <c r="AC93" s="75"/>
      <c r="AD93" s="77" t="str">
        <f aca="false">IFERROR(IF(AB93="","",AB93*AC93),"")</f>
        <v/>
      </c>
      <c r="AE93" s="75"/>
      <c r="AF93" s="75"/>
      <c r="AG93" s="77" t="str">
        <f aca="false">IFERROR(IF(AE93="","",AE93*AF93),"")</f>
        <v/>
      </c>
      <c r="AH93" s="75"/>
      <c r="AI93" s="75"/>
      <c r="AJ93" s="77" t="str">
        <f aca="false">IFERROR(IF(AH93="","",AH93*AI93),"")</f>
        <v/>
      </c>
      <c r="AK93" s="75"/>
      <c r="AL93" s="75"/>
      <c r="AM93" s="77" t="str">
        <f aca="false">IFERROR(IF(AK93="","",AK93*AL93),"")</f>
        <v/>
      </c>
      <c r="AN93" s="75"/>
    </row>
    <row r="94" customFormat="false" ht="15.75" hidden="false" customHeight="true" outlineLevel="0" collapsed="false">
      <c r="A94" s="60" t="n">
        <v>87</v>
      </c>
      <c r="B94" s="72"/>
      <c r="C94" s="73"/>
      <c r="D94" s="72"/>
      <c r="E94" s="72"/>
      <c r="F94" s="74" t="str">
        <f aca="false">IFERROR(IF(D94="","",D94*E94),"")</f>
        <v/>
      </c>
      <c r="G94" s="72"/>
      <c r="H94" s="72"/>
      <c r="I94" s="74" t="str">
        <f aca="false">IFERROR(IF(G94="","",G94*H94),"")</f>
        <v/>
      </c>
      <c r="J94" s="72"/>
      <c r="K94" s="72"/>
      <c r="L94" s="74" t="str">
        <f aca="false">IFERROR(IF(J94="","",J94*K94),"")</f>
        <v/>
      </c>
      <c r="M94" s="72"/>
      <c r="N94" s="72"/>
      <c r="O94" s="74" t="str">
        <f aca="false">IFERROR(IF(M94="","",M94*N94),"")</f>
        <v/>
      </c>
      <c r="P94" s="72"/>
      <c r="Q94" s="72"/>
      <c r="R94" s="74" t="str">
        <f aca="false">IFERROR(IF(P94="","",P94*Q94),"")</f>
        <v/>
      </c>
      <c r="S94" s="72"/>
      <c r="T94" s="72"/>
      <c r="U94" s="74" t="str">
        <f aca="false">IFERROR(IF(S94="","",S94*T94),"")</f>
        <v/>
      </c>
      <c r="V94" s="72"/>
      <c r="W94" s="72"/>
      <c r="X94" s="74" t="str">
        <f aca="false">IFERROR(IF(V94="","",V94*W94),"")</f>
        <v/>
      </c>
      <c r="Y94" s="72"/>
      <c r="Z94" s="72"/>
      <c r="AA94" s="74" t="str">
        <f aca="false">IFERROR(IF(Y94="","",Y94*Z94),"")</f>
        <v/>
      </c>
      <c r="AB94" s="72"/>
      <c r="AC94" s="72"/>
      <c r="AD94" s="74" t="str">
        <f aca="false">IFERROR(IF(AB94="","",AB94*AC94),"")</f>
        <v/>
      </c>
      <c r="AE94" s="72"/>
      <c r="AF94" s="72"/>
      <c r="AG94" s="74" t="str">
        <f aca="false">IFERROR(IF(AE94="","",AE94*AF94),"")</f>
        <v/>
      </c>
      <c r="AH94" s="72"/>
      <c r="AI94" s="72"/>
      <c r="AJ94" s="74" t="str">
        <f aca="false">IFERROR(IF(AH94="","",AH94*AI94),"")</f>
        <v/>
      </c>
      <c r="AK94" s="72"/>
      <c r="AL94" s="72"/>
      <c r="AM94" s="74" t="str">
        <f aca="false">IFERROR(IF(AK94="","",AK94*AL94),"")</f>
        <v/>
      </c>
      <c r="AN94" s="72"/>
    </row>
    <row r="95" customFormat="false" ht="15.75" hidden="false" customHeight="true" outlineLevel="0" collapsed="false">
      <c r="A95" s="62" t="n">
        <v>88</v>
      </c>
      <c r="B95" s="75"/>
      <c r="C95" s="76"/>
      <c r="D95" s="75"/>
      <c r="E95" s="75"/>
      <c r="F95" s="77" t="str">
        <f aca="false">IFERROR(IF(D95="","",D95*E95),"")</f>
        <v/>
      </c>
      <c r="G95" s="75"/>
      <c r="H95" s="75"/>
      <c r="I95" s="77" t="str">
        <f aca="false">IFERROR(IF(G95="","",G95*H95),"")</f>
        <v/>
      </c>
      <c r="J95" s="75"/>
      <c r="K95" s="75"/>
      <c r="L95" s="77" t="str">
        <f aca="false">IFERROR(IF(J95="","",J95*K95),"")</f>
        <v/>
      </c>
      <c r="M95" s="75"/>
      <c r="N95" s="75"/>
      <c r="O95" s="77" t="str">
        <f aca="false">IFERROR(IF(M95="","",M95*N95),"")</f>
        <v/>
      </c>
      <c r="P95" s="75"/>
      <c r="Q95" s="75"/>
      <c r="R95" s="77" t="str">
        <f aca="false">IFERROR(IF(P95="","",P95*Q95),"")</f>
        <v/>
      </c>
      <c r="S95" s="75"/>
      <c r="T95" s="75"/>
      <c r="U95" s="77" t="str">
        <f aca="false">IFERROR(IF(S95="","",S95*T95),"")</f>
        <v/>
      </c>
      <c r="V95" s="75"/>
      <c r="W95" s="75"/>
      <c r="X95" s="77" t="str">
        <f aca="false">IFERROR(IF(V95="","",V95*W95),"")</f>
        <v/>
      </c>
      <c r="Y95" s="75"/>
      <c r="Z95" s="75"/>
      <c r="AA95" s="77" t="str">
        <f aca="false">IFERROR(IF(Y95="","",Y95*Z95),"")</f>
        <v/>
      </c>
      <c r="AB95" s="75"/>
      <c r="AC95" s="75"/>
      <c r="AD95" s="77" t="str">
        <f aca="false">IFERROR(IF(AB95="","",AB95*AC95),"")</f>
        <v/>
      </c>
      <c r="AE95" s="75"/>
      <c r="AF95" s="75"/>
      <c r="AG95" s="77" t="str">
        <f aca="false">IFERROR(IF(AE95="","",AE95*AF95),"")</f>
        <v/>
      </c>
      <c r="AH95" s="75"/>
      <c r="AI95" s="75"/>
      <c r="AJ95" s="77" t="str">
        <f aca="false">IFERROR(IF(AH95="","",AH95*AI95),"")</f>
        <v/>
      </c>
      <c r="AK95" s="75"/>
      <c r="AL95" s="75"/>
      <c r="AM95" s="77" t="str">
        <f aca="false">IFERROR(IF(AK95="","",AK95*AL95),"")</f>
        <v/>
      </c>
      <c r="AN95" s="75"/>
    </row>
    <row r="96" customFormat="false" ht="15.75" hidden="false" customHeight="true" outlineLevel="0" collapsed="false">
      <c r="A96" s="60" t="n">
        <v>89</v>
      </c>
      <c r="B96" s="72"/>
      <c r="C96" s="73"/>
      <c r="D96" s="72"/>
      <c r="E96" s="72"/>
      <c r="F96" s="74" t="str">
        <f aca="false">IFERROR(IF(D96="","",D96*E96),"")</f>
        <v/>
      </c>
      <c r="G96" s="72"/>
      <c r="H96" s="72"/>
      <c r="I96" s="74" t="str">
        <f aca="false">IFERROR(IF(G96="","",G96*H96),"")</f>
        <v/>
      </c>
      <c r="J96" s="72"/>
      <c r="K96" s="72"/>
      <c r="L96" s="74" t="str">
        <f aca="false">IFERROR(IF(J96="","",J96*K96),"")</f>
        <v/>
      </c>
      <c r="M96" s="72"/>
      <c r="N96" s="72"/>
      <c r="O96" s="74" t="str">
        <f aca="false">IFERROR(IF(M96="","",M96*N96),"")</f>
        <v/>
      </c>
      <c r="P96" s="72"/>
      <c r="Q96" s="72"/>
      <c r="R96" s="74" t="str">
        <f aca="false">IFERROR(IF(P96="","",P96*Q96),"")</f>
        <v/>
      </c>
      <c r="S96" s="72"/>
      <c r="T96" s="72"/>
      <c r="U96" s="74" t="str">
        <f aca="false">IFERROR(IF(S96="","",S96*T96),"")</f>
        <v/>
      </c>
      <c r="V96" s="72"/>
      <c r="W96" s="72"/>
      <c r="X96" s="74" t="str">
        <f aca="false">IFERROR(IF(V96="","",V96*W96),"")</f>
        <v/>
      </c>
      <c r="Y96" s="72"/>
      <c r="Z96" s="72"/>
      <c r="AA96" s="74" t="str">
        <f aca="false">IFERROR(IF(Y96="","",Y96*Z96),"")</f>
        <v/>
      </c>
      <c r="AB96" s="72"/>
      <c r="AC96" s="72"/>
      <c r="AD96" s="74" t="str">
        <f aca="false">IFERROR(IF(AB96="","",AB96*AC96),"")</f>
        <v/>
      </c>
      <c r="AE96" s="72"/>
      <c r="AF96" s="72"/>
      <c r="AG96" s="74" t="str">
        <f aca="false">IFERROR(IF(AE96="","",AE96*AF96),"")</f>
        <v/>
      </c>
      <c r="AH96" s="72"/>
      <c r="AI96" s="72"/>
      <c r="AJ96" s="74" t="str">
        <f aca="false">IFERROR(IF(AH96="","",AH96*AI96),"")</f>
        <v/>
      </c>
      <c r="AK96" s="72"/>
      <c r="AL96" s="72"/>
      <c r="AM96" s="74" t="str">
        <f aca="false">IFERROR(IF(AK96="","",AK96*AL96),"")</f>
        <v/>
      </c>
      <c r="AN96" s="72"/>
    </row>
    <row r="97" customFormat="false" ht="15.75" hidden="false" customHeight="true" outlineLevel="0" collapsed="false">
      <c r="A97" s="62" t="n">
        <v>90</v>
      </c>
      <c r="B97" s="75"/>
      <c r="C97" s="76"/>
      <c r="D97" s="75"/>
      <c r="E97" s="75"/>
      <c r="F97" s="77" t="str">
        <f aca="false">IFERROR(IF(D97="","",D97*E97),"")</f>
        <v/>
      </c>
      <c r="G97" s="75"/>
      <c r="H97" s="75"/>
      <c r="I97" s="77" t="str">
        <f aca="false">IFERROR(IF(G97="","",G97*H97),"")</f>
        <v/>
      </c>
      <c r="J97" s="75"/>
      <c r="K97" s="75"/>
      <c r="L97" s="77" t="str">
        <f aca="false">IFERROR(IF(J97="","",J97*K97),"")</f>
        <v/>
      </c>
      <c r="M97" s="75"/>
      <c r="N97" s="75"/>
      <c r="O97" s="77" t="str">
        <f aca="false">IFERROR(IF(M97="","",M97*N97),"")</f>
        <v/>
      </c>
      <c r="P97" s="75"/>
      <c r="Q97" s="75"/>
      <c r="R97" s="77" t="str">
        <f aca="false">IFERROR(IF(P97="","",P97*Q97),"")</f>
        <v/>
      </c>
      <c r="S97" s="75"/>
      <c r="T97" s="75"/>
      <c r="U97" s="77" t="str">
        <f aca="false">IFERROR(IF(S97="","",S97*T97),"")</f>
        <v/>
      </c>
      <c r="V97" s="75"/>
      <c r="W97" s="75"/>
      <c r="X97" s="77" t="str">
        <f aca="false">IFERROR(IF(V97="","",V97*W97),"")</f>
        <v/>
      </c>
      <c r="Y97" s="75"/>
      <c r="Z97" s="75"/>
      <c r="AA97" s="77" t="str">
        <f aca="false">IFERROR(IF(Y97="","",Y97*Z97),"")</f>
        <v/>
      </c>
      <c r="AB97" s="75"/>
      <c r="AC97" s="75"/>
      <c r="AD97" s="77" t="str">
        <f aca="false">IFERROR(IF(AB97="","",AB97*AC97),"")</f>
        <v/>
      </c>
      <c r="AE97" s="75"/>
      <c r="AF97" s="75"/>
      <c r="AG97" s="77" t="str">
        <f aca="false">IFERROR(IF(AE97="","",AE97*AF97),"")</f>
        <v/>
      </c>
      <c r="AH97" s="75"/>
      <c r="AI97" s="75"/>
      <c r="AJ97" s="77" t="str">
        <f aca="false">IFERROR(IF(AH97="","",AH97*AI97),"")</f>
        <v/>
      </c>
      <c r="AK97" s="75"/>
      <c r="AL97" s="75"/>
      <c r="AM97" s="77" t="str">
        <f aca="false">IFERROR(IF(AK97="","",AK97*AL97),"")</f>
        <v/>
      </c>
      <c r="AN97" s="75"/>
    </row>
    <row r="98" customFormat="false" ht="15.75" hidden="false" customHeight="true" outlineLevel="0" collapsed="false">
      <c r="A98" s="60" t="n">
        <v>91</v>
      </c>
      <c r="B98" s="72"/>
      <c r="C98" s="73"/>
      <c r="D98" s="72"/>
      <c r="E98" s="72"/>
      <c r="F98" s="74" t="str">
        <f aca="false">IFERROR(IF(D98="","",D98*E98),"")</f>
        <v/>
      </c>
      <c r="G98" s="72"/>
      <c r="H98" s="72"/>
      <c r="I98" s="74" t="str">
        <f aca="false">IFERROR(IF(G98="","",G98*H98),"")</f>
        <v/>
      </c>
      <c r="J98" s="72"/>
      <c r="K98" s="72"/>
      <c r="L98" s="74" t="str">
        <f aca="false">IFERROR(IF(J98="","",J98*K98),"")</f>
        <v/>
      </c>
      <c r="M98" s="72"/>
      <c r="N98" s="72"/>
      <c r="O98" s="74" t="str">
        <f aca="false">IFERROR(IF(M98="","",M98*N98),"")</f>
        <v/>
      </c>
      <c r="P98" s="72"/>
      <c r="Q98" s="72"/>
      <c r="R98" s="74" t="str">
        <f aca="false">IFERROR(IF(P98="","",P98*Q98),"")</f>
        <v/>
      </c>
      <c r="S98" s="72"/>
      <c r="T98" s="72"/>
      <c r="U98" s="74" t="str">
        <f aca="false">IFERROR(IF(S98="","",S98*T98),"")</f>
        <v/>
      </c>
      <c r="V98" s="72"/>
      <c r="W98" s="72"/>
      <c r="X98" s="74" t="str">
        <f aca="false">IFERROR(IF(V98="","",V98*W98),"")</f>
        <v/>
      </c>
      <c r="Y98" s="72"/>
      <c r="Z98" s="72"/>
      <c r="AA98" s="74" t="str">
        <f aca="false">IFERROR(IF(Y98="","",Y98*Z98),"")</f>
        <v/>
      </c>
      <c r="AB98" s="72"/>
      <c r="AC98" s="72"/>
      <c r="AD98" s="74" t="str">
        <f aca="false">IFERROR(IF(AB98="","",AB98*AC98),"")</f>
        <v/>
      </c>
      <c r="AE98" s="72"/>
      <c r="AF98" s="72"/>
      <c r="AG98" s="74" t="str">
        <f aca="false">IFERROR(IF(AE98="","",AE98*AF98),"")</f>
        <v/>
      </c>
      <c r="AH98" s="72"/>
      <c r="AI98" s="72"/>
      <c r="AJ98" s="74" t="str">
        <f aca="false">IFERROR(IF(AH98="","",AH98*AI98),"")</f>
        <v/>
      </c>
      <c r="AK98" s="72"/>
      <c r="AL98" s="72"/>
      <c r="AM98" s="74" t="str">
        <f aca="false">IFERROR(IF(AK98="","",AK98*AL98),"")</f>
        <v/>
      </c>
      <c r="AN98" s="72"/>
    </row>
    <row r="99" customFormat="false" ht="15.75" hidden="false" customHeight="true" outlineLevel="0" collapsed="false">
      <c r="A99" s="62" t="n">
        <v>92</v>
      </c>
      <c r="B99" s="75"/>
      <c r="C99" s="76"/>
      <c r="D99" s="75"/>
      <c r="E99" s="75"/>
      <c r="F99" s="77" t="str">
        <f aca="false">IFERROR(IF(D99="","",D99*E99),"")</f>
        <v/>
      </c>
      <c r="G99" s="75"/>
      <c r="H99" s="75"/>
      <c r="I99" s="77" t="str">
        <f aca="false">IFERROR(IF(G99="","",G99*H99),"")</f>
        <v/>
      </c>
      <c r="J99" s="75"/>
      <c r="K99" s="75"/>
      <c r="L99" s="77" t="str">
        <f aca="false">IFERROR(IF(J99="","",J99*K99),"")</f>
        <v/>
      </c>
      <c r="M99" s="75"/>
      <c r="N99" s="75"/>
      <c r="O99" s="77" t="str">
        <f aca="false">IFERROR(IF(M99="","",M99*N99),"")</f>
        <v/>
      </c>
      <c r="P99" s="75"/>
      <c r="Q99" s="75"/>
      <c r="R99" s="77" t="str">
        <f aca="false">IFERROR(IF(P99="","",P99*Q99),"")</f>
        <v/>
      </c>
      <c r="S99" s="75"/>
      <c r="T99" s="75"/>
      <c r="U99" s="77" t="str">
        <f aca="false">IFERROR(IF(S99="","",S99*T99),"")</f>
        <v/>
      </c>
      <c r="V99" s="75"/>
      <c r="W99" s="75"/>
      <c r="X99" s="77" t="str">
        <f aca="false">IFERROR(IF(V99="","",V99*W99),"")</f>
        <v/>
      </c>
      <c r="Y99" s="75"/>
      <c r="Z99" s="75"/>
      <c r="AA99" s="77" t="str">
        <f aca="false">IFERROR(IF(Y99="","",Y99*Z99),"")</f>
        <v/>
      </c>
      <c r="AB99" s="75"/>
      <c r="AC99" s="75"/>
      <c r="AD99" s="77" t="str">
        <f aca="false">IFERROR(IF(AB99="","",AB99*AC99),"")</f>
        <v/>
      </c>
      <c r="AE99" s="75"/>
      <c r="AF99" s="75"/>
      <c r="AG99" s="77" t="str">
        <f aca="false">IFERROR(IF(AE99="","",AE99*AF99),"")</f>
        <v/>
      </c>
      <c r="AH99" s="75"/>
      <c r="AI99" s="75"/>
      <c r="AJ99" s="77" t="str">
        <f aca="false">IFERROR(IF(AH99="","",AH99*AI99),"")</f>
        <v/>
      </c>
      <c r="AK99" s="75"/>
      <c r="AL99" s="75"/>
      <c r="AM99" s="77" t="str">
        <f aca="false">IFERROR(IF(AK99="","",AK99*AL99),"")</f>
        <v/>
      </c>
      <c r="AN99" s="75"/>
    </row>
    <row r="100" customFormat="false" ht="15.75" hidden="false" customHeight="true" outlineLevel="0" collapsed="false">
      <c r="A100" s="60" t="n">
        <v>93</v>
      </c>
      <c r="B100" s="72"/>
      <c r="C100" s="73"/>
      <c r="D100" s="72"/>
      <c r="E100" s="72"/>
      <c r="F100" s="74" t="str">
        <f aca="false">IFERROR(IF(D100="","",D100*E100),"")</f>
        <v/>
      </c>
      <c r="G100" s="72"/>
      <c r="H100" s="72"/>
      <c r="I100" s="74" t="str">
        <f aca="false">IFERROR(IF(G100="","",G100*H100),"")</f>
        <v/>
      </c>
      <c r="J100" s="72"/>
      <c r="K100" s="72"/>
      <c r="L100" s="74" t="str">
        <f aca="false">IFERROR(IF(J100="","",J100*K100),"")</f>
        <v/>
      </c>
      <c r="M100" s="72"/>
      <c r="N100" s="72"/>
      <c r="O100" s="74" t="str">
        <f aca="false">IFERROR(IF(M100="","",M100*N100),"")</f>
        <v/>
      </c>
      <c r="P100" s="72"/>
      <c r="Q100" s="72"/>
      <c r="R100" s="74" t="str">
        <f aca="false">IFERROR(IF(P100="","",P100*Q100),"")</f>
        <v/>
      </c>
      <c r="S100" s="72"/>
      <c r="T100" s="72"/>
      <c r="U100" s="74" t="str">
        <f aca="false">IFERROR(IF(S100="","",S100*T100),"")</f>
        <v/>
      </c>
      <c r="V100" s="72"/>
      <c r="W100" s="72"/>
      <c r="X100" s="74" t="str">
        <f aca="false">IFERROR(IF(V100="","",V100*W100),"")</f>
        <v/>
      </c>
      <c r="Y100" s="72"/>
      <c r="Z100" s="72"/>
      <c r="AA100" s="74" t="str">
        <f aca="false">IFERROR(IF(Y100="","",Y100*Z100),"")</f>
        <v/>
      </c>
      <c r="AB100" s="72"/>
      <c r="AC100" s="72"/>
      <c r="AD100" s="74" t="str">
        <f aca="false">IFERROR(IF(AB100="","",AB100*AC100),"")</f>
        <v/>
      </c>
      <c r="AE100" s="72"/>
      <c r="AF100" s="72"/>
      <c r="AG100" s="74" t="str">
        <f aca="false">IFERROR(IF(AE100="","",AE100*AF100),"")</f>
        <v/>
      </c>
      <c r="AH100" s="72"/>
      <c r="AI100" s="72"/>
      <c r="AJ100" s="74" t="str">
        <f aca="false">IFERROR(IF(AH100="","",AH100*AI100),"")</f>
        <v/>
      </c>
      <c r="AK100" s="72"/>
      <c r="AL100" s="72"/>
      <c r="AM100" s="74" t="str">
        <f aca="false">IFERROR(IF(AK100="","",AK100*AL100),"")</f>
        <v/>
      </c>
      <c r="AN100" s="72"/>
    </row>
    <row r="101" customFormat="false" ht="15.75" hidden="false" customHeight="true" outlineLevel="0" collapsed="false">
      <c r="A101" s="62" t="n">
        <v>94</v>
      </c>
      <c r="B101" s="75"/>
      <c r="C101" s="76"/>
      <c r="D101" s="75"/>
      <c r="E101" s="75"/>
      <c r="F101" s="77" t="str">
        <f aca="false">IFERROR(IF(D101="","",D101*E101),"")</f>
        <v/>
      </c>
      <c r="G101" s="75"/>
      <c r="H101" s="75"/>
      <c r="I101" s="77" t="str">
        <f aca="false">IFERROR(IF(G101="","",G101*H101),"")</f>
        <v/>
      </c>
      <c r="J101" s="75"/>
      <c r="K101" s="75"/>
      <c r="L101" s="77" t="str">
        <f aca="false">IFERROR(IF(J101="","",J101*K101),"")</f>
        <v/>
      </c>
      <c r="M101" s="75"/>
      <c r="N101" s="75"/>
      <c r="O101" s="77" t="str">
        <f aca="false">IFERROR(IF(M101="","",M101*N101),"")</f>
        <v/>
      </c>
      <c r="P101" s="75"/>
      <c r="Q101" s="75"/>
      <c r="R101" s="77" t="str">
        <f aca="false">IFERROR(IF(P101="","",P101*Q101),"")</f>
        <v/>
      </c>
      <c r="S101" s="75"/>
      <c r="T101" s="75"/>
      <c r="U101" s="77" t="str">
        <f aca="false">IFERROR(IF(S101="","",S101*T101),"")</f>
        <v/>
      </c>
      <c r="V101" s="75"/>
      <c r="W101" s="75"/>
      <c r="X101" s="77" t="str">
        <f aca="false">IFERROR(IF(V101="","",V101*W101),"")</f>
        <v/>
      </c>
      <c r="Y101" s="75"/>
      <c r="Z101" s="75"/>
      <c r="AA101" s="77" t="str">
        <f aca="false">IFERROR(IF(Y101="","",Y101*Z101),"")</f>
        <v/>
      </c>
      <c r="AB101" s="75"/>
      <c r="AC101" s="75"/>
      <c r="AD101" s="77" t="str">
        <f aca="false">IFERROR(IF(AB101="","",AB101*AC101),"")</f>
        <v/>
      </c>
      <c r="AE101" s="75"/>
      <c r="AF101" s="75"/>
      <c r="AG101" s="77" t="str">
        <f aca="false">IFERROR(IF(AE101="","",AE101*AF101),"")</f>
        <v/>
      </c>
      <c r="AH101" s="75"/>
      <c r="AI101" s="75"/>
      <c r="AJ101" s="77" t="str">
        <f aca="false">IFERROR(IF(AH101="","",AH101*AI101),"")</f>
        <v/>
      </c>
      <c r="AK101" s="75"/>
      <c r="AL101" s="75"/>
      <c r="AM101" s="77" t="str">
        <f aca="false">IFERROR(IF(AK101="","",AK101*AL101),"")</f>
        <v/>
      </c>
      <c r="AN101" s="75"/>
    </row>
    <row r="102" customFormat="false" ht="15.75" hidden="false" customHeight="true" outlineLevel="0" collapsed="false">
      <c r="A102" s="60" t="n">
        <v>95</v>
      </c>
      <c r="B102" s="72"/>
      <c r="C102" s="73"/>
      <c r="D102" s="72"/>
      <c r="E102" s="72"/>
      <c r="F102" s="74" t="str">
        <f aca="false">IFERROR(IF(D102="","",D102*E102),"")</f>
        <v/>
      </c>
      <c r="G102" s="72"/>
      <c r="H102" s="72"/>
      <c r="I102" s="74" t="str">
        <f aca="false">IFERROR(IF(G102="","",G102*H102),"")</f>
        <v/>
      </c>
      <c r="J102" s="72"/>
      <c r="K102" s="72"/>
      <c r="L102" s="74" t="str">
        <f aca="false">IFERROR(IF(J102="","",J102*K102),"")</f>
        <v/>
      </c>
      <c r="M102" s="72"/>
      <c r="N102" s="72"/>
      <c r="O102" s="74" t="str">
        <f aca="false">IFERROR(IF(M102="","",M102*N102),"")</f>
        <v/>
      </c>
      <c r="P102" s="72"/>
      <c r="Q102" s="72"/>
      <c r="R102" s="74" t="str">
        <f aca="false">IFERROR(IF(P102="","",P102*Q102),"")</f>
        <v/>
      </c>
      <c r="S102" s="72"/>
      <c r="T102" s="72"/>
      <c r="U102" s="74" t="str">
        <f aca="false">IFERROR(IF(S102="","",S102*T102),"")</f>
        <v/>
      </c>
      <c r="V102" s="72"/>
      <c r="W102" s="72"/>
      <c r="X102" s="74" t="str">
        <f aca="false">IFERROR(IF(V102="","",V102*W102),"")</f>
        <v/>
      </c>
      <c r="Y102" s="72"/>
      <c r="Z102" s="72"/>
      <c r="AA102" s="74" t="str">
        <f aca="false">IFERROR(IF(Y102="","",Y102*Z102),"")</f>
        <v/>
      </c>
      <c r="AB102" s="72"/>
      <c r="AC102" s="72"/>
      <c r="AD102" s="74" t="str">
        <f aca="false">IFERROR(IF(AB102="","",AB102*AC102),"")</f>
        <v/>
      </c>
      <c r="AE102" s="72"/>
      <c r="AF102" s="72"/>
      <c r="AG102" s="74" t="str">
        <f aca="false">IFERROR(IF(AE102="","",AE102*AF102),"")</f>
        <v/>
      </c>
      <c r="AH102" s="72"/>
      <c r="AI102" s="72"/>
      <c r="AJ102" s="74" t="str">
        <f aca="false">IFERROR(IF(AH102="","",AH102*AI102),"")</f>
        <v/>
      </c>
      <c r="AK102" s="72"/>
      <c r="AL102" s="72"/>
      <c r="AM102" s="74" t="str">
        <f aca="false">IFERROR(IF(AK102="","",AK102*AL102),"")</f>
        <v/>
      </c>
      <c r="AN102" s="72"/>
    </row>
    <row r="103" customFormat="false" ht="15.75" hidden="false" customHeight="true" outlineLevel="0" collapsed="false">
      <c r="A103" s="62" t="n">
        <v>96</v>
      </c>
      <c r="B103" s="75"/>
      <c r="C103" s="76"/>
      <c r="D103" s="75"/>
      <c r="E103" s="75"/>
      <c r="F103" s="77" t="str">
        <f aca="false">IFERROR(IF(D103="","",D103*E103),"")</f>
        <v/>
      </c>
      <c r="G103" s="75"/>
      <c r="H103" s="75"/>
      <c r="I103" s="77" t="str">
        <f aca="false">IFERROR(IF(G103="","",G103*H103),"")</f>
        <v/>
      </c>
      <c r="J103" s="75"/>
      <c r="K103" s="75"/>
      <c r="L103" s="77" t="str">
        <f aca="false">IFERROR(IF(J103="","",J103*K103),"")</f>
        <v/>
      </c>
      <c r="M103" s="75"/>
      <c r="N103" s="75"/>
      <c r="O103" s="77" t="str">
        <f aca="false">IFERROR(IF(M103="","",M103*N103),"")</f>
        <v/>
      </c>
      <c r="P103" s="75"/>
      <c r="Q103" s="75"/>
      <c r="R103" s="77" t="str">
        <f aca="false">IFERROR(IF(P103="","",P103*Q103),"")</f>
        <v/>
      </c>
      <c r="S103" s="75"/>
      <c r="T103" s="75"/>
      <c r="U103" s="77" t="str">
        <f aca="false">IFERROR(IF(S103="","",S103*T103),"")</f>
        <v/>
      </c>
      <c r="V103" s="75"/>
      <c r="W103" s="75"/>
      <c r="X103" s="77" t="str">
        <f aca="false">IFERROR(IF(V103="","",V103*W103),"")</f>
        <v/>
      </c>
      <c r="Y103" s="75"/>
      <c r="Z103" s="75"/>
      <c r="AA103" s="77" t="str">
        <f aca="false">IFERROR(IF(Y103="","",Y103*Z103),"")</f>
        <v/>
      </c>
      <c r="AB103" s="75"/>
      <c r="AC103" s="75"/>
      <c r="AD103" s="77" t="str">
        <f aca="false">IFERROR(IF(AB103="","",AB103*AC103),"")</f>
        <v/>
      </c>
      <c r="AE103" s="75"/>
      <c r="AF103" s="75"/>
      <c r="AG103" s="77" t="str">
        <f aca="false">IFERROR(IF(AE103="","",AE103*AF103),"")</f>
        <v/>
      </c>
      <c r="AH103" s="75"/>
      <c r="AI103" s="75"/>
      <c r="AJ103" s="77" t="str">
        <f aca="false">IFERROR(IF(AH103="","",AH103*AI103),"")</f>
        <v/>
      </c>
      <c r="AK103" s="75"/>
      <c r="AL103" s="75"/>
      <c r="AM103" s="77" t="str">
        <f aca="false">IFERROR(IF(AK103="","",AK103*AL103),"")</f>
        <v/>
      </c>
      <c r="AN103" s="75"/>
    </row>
    <row r="104" customFormat="false" ht="15.75" hidden="false" customHeight="true" outlineLevel="0" collapsed="false">
      <c r="A104" s="60" t="n">
        <v>97</v>
      </c>
      <c r="B104" s="72"/>
      <c r="C104" s="73"/>
      <c r="D104" s="72"/>
      <c r="E104" s="72"/>
      <c r="F104" s="74" t="str">
        <f aca="false">IFERROR(IF(D104="","",D104*E104),"")</f>
        <v/>
      </c>
      <c r="G104" s="72"/>
      <c r="H104" s="72"/>
      <c r="I104" s="74" t="str">
        <f aca="false">IFERROR(IF(G104="","",G104*H104),"")</f>
        <v/>
      </c>
      <c r="J104" s="72"/>
      <c r="K104" s="72"/>
      <c r="L104" s="74" t="str">
        <f aca="false">IFERROR(IF(J104="","",J104*K104),"")</f>
        <v/>
      </c>
      <c r="M104" s="72"/>
      <c r="N104" s="72"/>
      <c r="O104" s="74" t="str">
        <f aca="false">IFERROR(IF(M104="","",M104*N104),"")</f>
        <v/>
      </c>
      <c r="P104" s="72"/>
      <c r="Q104" s="72"/>
      <c r="R104" s="74" t="str">
        <f aca="false">IFERROR(IF(P104="","",P104*Q104),"")</f>
        <v/>
      </c>
      <c r="S104" s="72"/>
      <c r="T104" s="72"/>
      <c r="U104" s="74" t="str">
        <f aca="false">IFERROR(IF(S104="","",S104*T104),"")</f>
        <v/>
      </c>
      <c r="V104" s="72"/>
      <c r="W104" s="72"/>
      <c r="X104" s="74" t="str">
        <f aca="false">IFERROR(IF(V104="","",V104*W104),"")</f>
        <v/>
      </c>
      <c r="Y104" s="72"/>
      <c r="Z104" s="72"/>
      <c r="AA104" s="74" t="str">
        <f aca="false">IFERROR(IF(Y104="","",Y104*Z104),"")</f>
        <v/>
      </c>
      <c r="AB104" s="72"/>
      <c r="AC104" s="72"/>
      <c r="AD104" s="74" t="str">
        <f aca="false">IFERROR(IF(AB104="","",AB104*AC104),"")</f>
        <v/>
      </c>
      <c r="AE104" s="72"/>
      <c r="AF104" s="72"/>
      <c r="AG104" s="74" t="str">
        <f aca="false">IFERROR(IF(AE104="","",AE104*AF104),"")</f>
        <v/>
      </c>
      <c r="AH104" s="72"/>
      <c r="AI104" s="72"/>
      <c r="AJ104" s="74" t="str">
        <f aca="false">IFERROR(IF(AH104="","",AH104*AI104),"")</f>
        <v/>
      </c>
      <c r="AK104" s="72"/>
      <c r="AL104" s="72"/>
      <c r="AM104" s="74" t="str">
        <f aca="false">IFERROR(IF(AK104="","",AK104*AL104),"")</f>
        <v/>
      </c>
      <c r="AN104" s="72"/>
    </row>
    <row r="105" customFormat="false" ht="15.75" hidden="false" customHeight="true" outlineLevel="0" collapsed="false">
      <c r="A105" s="62" t="n">
        <v>98</v>
      </c>
      <c r="B105" s="75"/>
      <c r="C105" s="76"/>
      <c r="D105" s="75"/>
      <c r="E105" s="75"/>
      <c r="F105" s="77" t="str">
        <f aca="false">IFERROR(IF(D105="","",D105*E105),"")</f>
        <v/>
      </c>
      <c r="G105" s="75"/>
      <c r="H105" s="75"/>
      <c r="I105" s="77" t="str">
        <f aca="false">IFERROR(IF(G105="","",G105*H105),"")</f>
        <v/>
      </c>
      <c r="J105" s="75"/>
      <c r="K105" s="75"/>
      <c r="L105" s="77" t="str">
        <f aca="false">IFERROR(IF(J105="","",J105*K105),"")</f>
        <v/>
      </c>
      <c r="M105" s="75"/>
      <c r="N105" s="75"/>
      <c r="O105" s="77" t="str">
        <f aca="false">IFERROR(IF(M105="","",M105*N105),"")</f>
        <v/>
      </c>
      <c r="P105" s="75"/>
      <c r="Q105" s="75"/>
      <c r="R105" s="77" t="str">
        <f aca="false">IFERROR(IF(P105="","",P105*Q105),"")</f>
        <v/>
      </c>
      <c r="S105" s="75"/>
      <c r="T105" s="75"/>
      <c r="U105" s="77" t="str">
        <f aca="false">IFERROR(IF(S105="","",S105*T105),"")</f>
        <v/>
      </c>
      <c r="V105" s="75"/>
      <c r="W105" s="75"/>
      <c r="X105" s="77" t="str">
        <f aca="false">IFERROR(IF(V105="","",V105*W105),"")</f>
        <v/>
      </c>
      <c r="Y105" s="75"/>
      <c r="Z105" s="75"/>
      <c r="AA105" s="77" t="str">
        <f aca="false">IFERROR(IF(Y105="","",Y105*Z105),"")</f>
        <v/>
      </c>
      <c r="AB105" s="75"/>
      <c r="AC105" s="75"/>
      <c r="AD105" s="77" t="str">
        <f aca="false">IFERROR(IF(AB105="","",AB105*AC105),"")</f>
        <v/>
      </c>
      <c r="AE105" s="75"/>
      <c r="AF105" s="75"/>
      <c r="AG105" s="77" t="str">
        <f aca="false">IFERROR(IF(AE105="","",AE105*AF105),"")</f>
        <v/>
      </c>
      <c r="AH105" s="75"/>
      <c r="AI105" s="75"/>
      <c r="AJ105" s="77" t="str">
        <f aca="false">IFERROR(IF(AH105="","",AH105*AI105),"")</f>
        <v/>
      </c>
      <c r="AK105" s="75"/>
      <c r="AL105" s="75"/>
      <c r="AM105" s="77" t="str">
        <f aca="false">IFERROR(IF(AK105="","",AK105*AL105),"")</f>
        <v/>
      </c>
      <c r="AN105" s="75"/>
    </row>
    <row r="106" customFormat="false" ht="15.75" hidden="false" customHeight="true" outlineLevel="0" collapsed="false">
      <c r="A106" s="60" t="n">
        <v>99</v>
      </c>
      <c r="B106" s="72"/>
      <c r="C106" s="73"/>
      <c r="D106" s="72"/>
      <c r="E106" s="72"/>
      <c r="F106" s="74" t="str">
        <f aca="false">IFERROR(IF(D106="","",D106*E106),"")</f>
        <v/>
      </c>
      <c r="G106" s="72"/>
      <c r="H106" s="72"/>
      <c r="I106" s="74" t="str">
        <f aca="false">IFERROR(IF(G106="","",G106*H106),"")</f>
        <v/>
      </c>
      <c r="J106" s="72"/>
      <c r="K106" s="72"/>
      <c r="L106" s="74" t="str">
        <f aca="false">IFERROR(IF(J106="","",J106*K106),"")</f>
        <v/>
      </c>
      <c r="M106" s="72"/>
      <c r="N106" s="72"/>
      <c r="O106" s="74" t="str">
        <f aca="false">IFERROR(IF(M106="","",M106*N106),"")</f>
        <v/>
      </c>
      <c r="P106" s="72"/>
      <c r="Q106" s="72"/>
      <c r="R106" s="74" t="str">
        <f aca="false">IFERROR(IF(P106="","",P106*Q106),"")</f>
        <v/>
      </c>
      <c r="S106" s="72"/>
      <c r="T106" s="72"/>
      <c r="U106" s="74" t="str">
        <f aca="false">IFERROR(IF(S106="","",S106*T106),"")</f>
        <v/>
      </c>
      <c r="V106" s="72"/>
      <c r="W106" s="72"/>
      <c r="X106" s="74" t="str">
        <f aca="false">IFERROR(IF(V106="","",V106*W106),"")</f>
        <v/>
      </c>
      <c r="Y106" s="72"/>
      <c r="Z106" s="72"/>
      <c r="AA106" s="74" t="str">
        <f aca="false">IFERROR(IF(Y106="","",Y106*Z106),"")</f>
        <v/>
      </c>
      <c r="AB106" s="72"/>
      <c r="AC106" s="72"/>
      <c r="AD106" s="74" t="str">
        <f aca="false">IFERROR(IF(AB106="","",AB106*AC106),"")</f>
        <v/>
      </c>
      <c r="AE106" s="72"/>
      <c r="AF106" s="72"/>
      <c r="AG106" s="74" t="str">
        <f aca="false">IFERROR(IF(AE106="","",AE106*AF106),"")</f>
        <v/>
      </c>
      <c r="AH106" s="72"/>
      <c r="AI106" s="72"/>
      <c r="AJ106" s="74" t="str">
        <f aca="false">IFERROR(IF(AH106="","",AH106*AI106),"")</f>
        <v/>
      </c>
      <c r="AK106" s="72"/>
      <c r="AL106" s="72"/>
      <c r="AM106" s="74" t="str">
        <f aca="false">IFERROR(IF(AK106="","",AK106*AL106),"")</f>
        <v/>
      </c>
      <c r="AN106" s="72"/>
    </row>
    <row r="107" customFormat="false" ht="15.75" hidden="false" customHeight="true" outlineLevel="0" collapsed="false">
      <c r="A107" s="62" t="n">
        <v>100</v>
      </c>
      <c r="B107" s="75"/>
      <c r="C107" s="76"/>
      <c r="D107" s="75"/>
      <c r="E107" s="75"/>
      <c r="F107" s="77" t="str">
        <f aca="false">IFERROR(IF(D107="","",D107*E107),"")</f>
        <v/>
      </c>
      <c r="G107" s="75"/>
      <c r="H107" s="75"/>
      <c r="I107" s="77" t="str">
        <f aca="false">IFERROR(IF(G107="","",G107*H107),"")</f>
        <v/>
      </c>
      <c r="J107" s="75"/>
      <c r="K107" s="75"/>
      <c r="L107" s="77" t="str">
        <f aca="false">IFERROR(IF(J107="","",J107*K107),"")</f>
        <v/>
      </c>
      <c r="M107" s="75"/>
      <c r="N107" s="75"/>
      <c r="O107" s="77" t="str">
        <f aca="false">IFERROR(IF(M107="","",M107*N107),"")</f>
        <v/>
      </c>
      <c r="P107" s="75"/>
      <c r="Q107" s="75"/>
      <c r="R107" s="77" t="str">
        <f aca="false">IFERROR(IF(P107="","",P107*Q107),"")</f>
        <v/>
      </c>
      <c r="S107" s="75"/>
      <c r="T107" s="75"/>
      <c r="U107" s="77" t="str">
        <f aca="false">IFERROR(IF(S107="","",S107*T107),"")</f>
        <v/>
      </c>
      <c r="V107" s="75"/>
      <c r="W107" s="75"/>
      <c r="X107" s="77" t="str">
        <f aca="false">IFERROR(IF(V107="","",V107*W107),"")</f>
        <v/>
      </c>
      <c r="Y107" s="75"/>
      <c r="Z107" s="75"/>
      <c r="AA107" s="77" t="str">
        <f aca="false">IFERROR(IF(Y107="","",Y107*Z107),"")</f>
        <v/>
      </c>
      <c r="AB107" s="75"/>
      <c r="AC107" s="75"/>
      <c r="AD107" s="77" t="str">
        <f aca="false">IFERROR(IF(AB107="","",AB107*AC107),"")</f>
        <v/>
      </c>
      <c r="AE107" s="75"/>
      <c r="AF107" s="75"/>
      <c r="AG107" s="77" t="str">
        <f aca="false">IFERROR(IF(AE107="","",AE107*AF107),"")</f>
        <v/>
      </c>
      <c r="AH107" s="75"/>
      <c r="AI107" s="75"/>
      <c r="AJ107" s="77" t="str">
        <f aca="false">IFERROR(IF(AH107="","",AH107*AI107),"")</f>
        <v/>
      </c>
      <c r="AK107" s="75"/>
      <c r="AL107" s="75"/>
      <c r="AM107" s="77" t="str">
        <f aca="false">IFERROR(IF(AK107="","",AK107*AL107),"")</f>
        <v/>
      </c>
      <c r="AN107" s="75"/>
    </row>
    <row r="108" customFormat="false" ht="15.75" hidden="false" customHeight="true" outlineLevel="0" collapsed="false">
      <c r="A108" s="60" t="n">
        <v>101</v>
      </c>
      <c r="B108" s="72"/>
      <c r="C108" s="73"/>
      <c r="D108" s="72"/>
      <c r="E108" s="72"/>
      <c r="F108" s="74" t="str">
        <f aca="false">IFERROR(IF(D108="","",D108*E108),"")</f>
        <v/>
      </c>
      <c r="G108" s="72"/>
      <c r="H108" s="72"/>
      <c r="I108" s="74" t="str">
        <f aca="false">IFERROR(IF(G108="","",G108*H108),"")</f>
        <v/>
      </c>
      <c r="J108" s="72"/>
      <c r="K108" s="72"/>
      <c r="L108" s="74" t="str">
        <f aca="false">IFERROR(IF(J108="","",J108*K108),"")</f>
        <v/>
      </c>
      <c r="M108" s="72"/>
      <c r="N108" s="72"/>
      <c r="O108" s="74" t="str">
        <f aca="false">IFERROR(IF(M108="","",M108*N108),"")</f>
        <v/>
      </c>
      <c r="P108" s="72"/>
      <c r="Q108" s="72"/>
      <c r="R108" s="74" t="str">
        <f aca="false">IFERROR(IF(P108="","",P108*Q108),"")</f>
        <v/>
      </c>
      <c r="S108" s="72"/>
      <c r="T108" s="72"/>
      <c r="U108" s="74" t="str">
        <f aca="false">IFERROR(IF(S108="","",S108*T108),"")</f>
        <v/>
      </c>
      <c r="V108" s="72"/>
      <c r="W108" s="72"/>
      <c r="X108" s="74" t="str">
        <f aca="false">IFERROR(IF(V108="","",V108*W108),"")</f>
        <v/>
      </c>
      <c r="Y108" s="72"/>
      <c r="Z108" s="72"/>
      <c r="AA108" s="74" t="str">
        <f aca="false">IFERROR(IF(Y108="","",Y108*Z108),"")</f>
        <v/>
      </c>
      <c r="AB108" s="72"/>
      <c r="AC108" s="72"/>
      <c r="AD108" s="74" t="str">
        <f aca="false">IFERROR(IF(AB108="","",AB108*AC108),"")</f>
        <v/>
      </c>
      <c r="AE108" s="72"/>
      <c r="AF108" s="72"/>
      <c r="AG108" s="74" t="str">
        <f aca="false">IFERROR(IF(AE108="","",AE108*AF108),"")</f>
        <v/>
      </c>
      <c r="AH108" s="72"/>
      <c r="AI108" s="72"/>
      <c r="AJ108" s="74" t="str">
        <f aca="false">IFERROR(IF(AH108="","",AH108*AI108),"")</f>
        <v/>
      </c>
      <c r="AK108" s="72"/>
      <c r="AL108" s="72"/>
      <c r="AM108" s="74" t="str">
        <f aca="false">IFERROR(IF(AK108="","",AK108*AL108),"")</f>
        <v/>
      </c>
      <c r="AN108" s="72"/>
    </row>
    <row r="109" customFormat="false" ht="15.75" hidden="false" customHeight="true" outlineLevel="0" collapsed="false">
      <c r="A109" s="62" t="n">
        <v>102</v>
      </c>
      <c r="B109" s="75"/>
      <c r="C109" s="76"/>
      <c r="D109" s="75"/>
      <c r="E109" s="75"/>
      <c r="F109" s="77" t="str">
        <f aca="false">IFERROR(IF(D109="","",D109*E109),"")</f>
        <v/>
      </c>
      <c r="G109" s="75"/>
      <c r="H109" s="75"/>
      <c r="I109" s="77" t="str">
        <f aca="false">IFERROR(IF(G109="","",G109*H109),"")</f>
        <v/>
      </c>
      <c r="J109" s="75"/>
      <c r="K109" s="75"/>
      <c r="L109" s="77" t="str">
        <f aca="false">IFERROR(IF(J109="","",J109*K109),"")</f>
        <v/>
      </c>
      <c r="M109" s="75"/>
      <c r="N109" s="75"/>
      <c r="O109" s="77" t="str">
        <f aca="false">IFERROR(IF(M109="","",M109*N109),"")</f>
        <v/>
      </c>
      <c r="P109" s="75"/>
      <c r="Q109" s="75"/>
      <c r="R109" s="77" t="str">
        <f aca="false">IFERROR(IF(P109="","",P109*Q109),"")</f>
        <v/>
      </c>
      <c r="S109" s="75"/>
      <c r="T109" s="75"/>
      <c r="U109" s="77" t="str">
        <f aca="false">IFERROR(IF(S109="","",S109*T109),"")</f>
        <v/>
      </c>
      <c r="V109" s="75"/>
      <c r="W109" s="75"/>
      <c r="X109" s="77" t="str">
        <f aca="false">IFERROR(IF(V109="","",V109*W109),"")</f>
        <v/>
      </c>
      <c r="Y109" s="75"/>
      <c r="Z109" s="75"/>
      <c r="AA109" s="77" t="str">
        <f aca="false">IFERROR(IF(Y109="","",Y109*Z109),"")</f>
        <v/>
      </c>
      <c r="AB109" s="75"/>
      <c r="AC109" s="75"/>
      <c r="AD109" s="77" t="str">
        <f aca="false">IFERROR(IF(AB109="","",AB109*AC109),"")</f>
        <v/>
      </c>
      <c r="AE109" s="75"/>
      <c r="AF109" s="75"/>
      <c r="AG109" s="77" t="str">
        <f aca="false">IFERROR(IF(AE109="","",AE109*AF109),"")</f>
        <v/>
      </c>
      <c r="AH109" s="75"/>
      <c r="AI109" s="75"/>
      <c r="AJ109" s="77" t="str">
        <f aca="false">IFERROR(IF(AH109="","",AH109*AI109),"")</f>
        <v/>
      </c>
      <c r="AK109" s="75"/>
      <c r="AL109" s="75"/>
      <c r="AM109" s="77" t="str">
        <f aca="false">IFERROR(IF(AK109="","",AK109*AL109),"")</f>
        <v/>
      </c>
      <c r="AN109" s="75"/>
    </row>
    <row r="110" customFormat="false" ht="15.75" hidden="false" customHeight="true" outlineLevel="0" collapsed="false">
      <c r="A110" s="60" t="n">
        <v>103</v>
      </c>
      <c r="B110" s="72"/>
      <c r="C110" s="73"/>
      <c r="D110" s="72"/>
      <c r="E110" s="72"/>
      <c r="F110" s="74" t="str">
        <f aca="false">IFERROR(IF(D110="","",D110*E110),"")</f>
        <v/>
      </c>
      <c r="G110" s="72"/>
      <c r="H110" s="72"/>
      <c r="I110" s="74" t="str">
        <f aca="false">IFERROR(IF(G110="","",G110*H110),"")</f>
        <v/>
      </c>
      <c r="J110" s="72"/>
      <c r="K110" s="72"/>
      <c r="L110" s="74" t="str">
        <f aca="false">IFERROR(IF(J110="","",J110*K110),"")</f>
        <v/>
      </c>
      <c r="M110" s="72"/>
      <c r="N110" s="72"/>
      <c r="O110" s="74" t="str">
        <f aca="false">IFERROR(IF(M110="","",M110*N110),"")</f>
        <v/>
      </c>
      <c r="P110" s="72"/>
      <c r="Q110" s="72"/>
      <c r="R110" s="74" t="str">
        <f aca="false">IFERROR(IF(P110="","",P110*Q110),"")</f>
        <v/>
      </c>
      <c r="S110" s="72"/>
      <c r="T110" s="72"/>
      <c r="U110" s="74" t="str">
        <f aca="false">IFERROR(IF(S110="","",S110*T110),"")</f>
        <v/>
      </c>
      <c r="V110" s="72"/>
      <c r="W110" s="72"/>
      <c r="X110" s="74" t="str">
        <f aca="false">IFERROR(IF(V110="","",V110*W110),"")</f>
        <v/>
      </c>
      <c r="Y110" s="72"/>
      <c r="Z110" s="72"/>
      <c r="AA110" s="74" t="str">
        <f aca="false">IFERROR(IF(Y110="","",Y110*Z110),"")</f>
        <v/>
      </c>
      <c r="AB110" s="72"/>
      <c r="AC110" s="72"/>
      <c r="AD110" s="74" t="str">
        <f aca="false">IFERROR(IF(AB110="","",AB110*AC110),"")</f>
        <v/>
      </c>
      <c r="AE110" s="72"/>
      <c r="AF110" s="72"/>
      <c r="AG110" s="74" t="str">
        <f aca="false">IFERROR(IF(AE110="","",AE110*AF110),"")</f>
        <v/>
      </c>
      <c r="AH110" s="72"/>
      <c r="AI110" s="72"/>
      <c r="AJ110" s="74" t="str">
        <f aca="false">IFERROR(IF(AH110="","",AH110*AI110),"")</f>
        <v/>
      </c>
      <c r="AK110" s="72"/>
      <c r="AL110" s="72"/>
      <c r="AM110" s="74" t="str">
        <f aca="false">IFERROR(IF(AK110="","",AK110*AL110),"")</f>
        <v/>
      </c>
      <c r="AN110" s="72"/>
    </row>
    <row r="111" customFormat="false" ht="15.75" hidden="false" customHeight="true" outlineLevel="0" collapsed="false">
      <c r="A111" s="62" t="n">
        <v>104</v>
      </c>
      <c r="B111" s="75"/>
      <c r="C111" s="76"/>
      <c r="D111" s="75"/>
      <c r="E111" s="75"/>
      <c r="F111" s="77" t="str">
        <f aca="false">IFERROR(IF(D111="","",D111*E111),"")</f>
        <v/>
      </c>
      <c r="G111" s="75"/>
      <c r="H111" s="75"/>
      <c r="I111" s="77" t="str">
        <f aca="false">IFERROR(IF(G111="","",G111*H111),"")</f>
        <v/>
      </c>
      <c r="J111" s="75"/>
      <c r="K111" s="75"/>
      <c r="L111" s="77" t="str">
        <f aca="false">IFERROR(IF(J111="","",J111*K111),"")</f>
        <v/>
      </c>
      <c r="M111" s="75"/>
      <c r="N111" s="75"/>
      <c r="O111" s="77" t="str">
        <f aca="false">IFERROR(IF(M111="","",M111*N111),"")</f>
        <v/>
      </c>
      <c r="P111" s="75"/>
      <c r="Q111" s="75"/>
      <c r="R111" s="77" t="str">
        <f aca="false">IFERROR(IF(P111="","",P111*Q111),"")</f>
        <v/>
      </c>
      <c r="S111" s="75"/>
      <c r="T111" s="75"/>
      <c r="U111" s="77" t="str">
        <f aca="false">IFERROR(IF(S111="","",S111*T111),"")</f>
        <v/>
      </c>
      <c r="V111" s="75"/>
      <c r="W111" s="75"/>
      <c r="X111" s="77" t="str">
        <f aca="false">IFERROR(IF(V111="","",V111*W111),"")</f>
        <v/>
      </c>
      <c r="Y111" s="75"/>
      <c r="Z111" s="75"/>
      <c r="AA111" s="77" t="str">
        <f aca="false">IFERROR(IF(Y111="","",Y111*Z111),"")</f>
        <v/>
      </c>
      <c r="AB111" s="75"/>
      <c r="AC111" s="75"/>
      <c r="AD111" s="77" t="str">
        <f aca="false">IFERROR(IF(AB111="","",AB111*AC111),"")</f>
        <v/>
      </c>
      <c r="AE111" s="75"/>
      <c r="AF111" s="75"/>
      <c r="AG111" s="77" t="str">
        <f aca="false">IFERROR(IF(AE111="","",AE111*AF111),"")</f>
        <v/>
      </c>
      <c r="AH111" s="75"/>
      <c r="AI111" s="75"/>
      <c r="AJ111" s="77" t="str">
        <f aca="false">IFERROR(IF(AH111="","",AH111*AI111),"")</f>
        <v/>
      </c>
      <c r="AK111" s="75"/>
      <c r="AL111" s="75"/>
      <c r="AM111" s="77" t="str">
        <f aca="false">IFERROR(IF(AK111="","",AK111*AL111),"")</f>
        <v/>
      </c>
      <c r="AN111" s="75"/>
    </row>
    <row r="112" customFormat="false" ht="15.75" hidden="false" customHeight="true" outlineLevel="0" collapsed="false">
      <c r="A112" s="60" t="n">
        <v>105</v>
      </c>
      <c r="B112" s="72"/>
      <c r="C112" s="73"/>
      <c r="D112" s="72"/>
      <c r="E112" s="72"/>
      <c r="F112" s="74" t="str">
        <f aca="false">IFERROR(IF(D112="","",D112*E112),"")</f>
        <v/>
      </c>
      <c r="G112" s="72"/>
      <c r="H112" s="72"/>
      <c r="I112" s="74" t="str">
        <f aca="false">IFERROR(IF(G112="","",G112*H112),"")</f>
        <v/>
      </c>
      <c r="J112" s="72"/>
      <c r="K112" s="72"/>
      <c r="L112" s="74" t="str">
        <f aca="false">IFERROR(IF(J112="","",J112*K112),"")</f>
        <v/>
      </c>
      <c r="M112" s="72"/>
      <c r="N112" s="72"/>
      <c r="O112" s="74" t="str">
        <f aca="false">IFERROR(IF(M112="","",M112*N112),"")</f>
        <v/>
      </c>
      <c r="P112" s="72"/>
      <c r="Q112" s="72"/>
      <c r="R112" s="74" t="str">
        <f aca="false">IFERROR(IF(P112="","",P112*Q112),"")</f>
        <v/>
      </c>
      <c r="S112" s="72"/>
      <c r="T112" s="72"/>
      <c r="U112" s="74" t="str">
        <f aca="false">IFERROR(IF(S112="","",S112*T112),"")</f>
        <v/>
      </c>
      <c r="V112" s="72"/>
      <c r="W112" s="72"/>
      <c r="X112" s="74" t="str">
        <f aca="false">IFERROR(IF(V112="","",V112*W112),"")</f>
        <v/>
      </c>
      <c r="Y112" s="72"/>
      <c r="Z112" s="72"/>
      <c r="AA112" s="74" t="str">
        <f aca="false">IFERROR(IF(Y112="","",Y112*Z112),"")</f>
        <v/>
      </c>
      <c r="AB112" s="72"/>
      <c r="AC112" s="72"/>
      <c r="AD112" s="74" t="str">
        <f aca="false">IFERROR(IF(AB112="","",AB112*AC112),"")</f>
        <v/>
      </c>
      <c r="AE112" s="72"/>
      <c r="AF112" s="72"/>
      <c r="AG112" s="74" t="str">
        <f aca="false">IFERROR(IF(AE112="","",AE112*AF112),"")</f>
        <v/>
      </c>
      <c r="AH112" s="72"/>
      <c r="AI112" s="72"/>
      <c r="AJ112" s="74" t="str">
        <f aca="false">IFERROR(IF(AH112="","",AH112*AI112),"")</f>
        <v/>
      </c>
      <c r="AK112" s="72"/>
      <c r="AL112" s="72"/>
      <c r="AM112" s="74" t="str">
        <f aca="false">IFERROR(IF(AK112="","",AK112*AL112),"")</f>
        <v/>
      </c>
      <c r="AN112" s="72"/>
    </row>
    <row r="113" customFormat="false" ht="15.75" hidden="false" customHeight="true" outlineLevel="0" collapsed="false">
      <c r="A113" s="62" t="n">
        <v>106</v>
      </c>
      <c r="B113" s="75"/>
      <c r="C113" s="76"/>
      <c r="D113" s="75"/>
      <c r="E113" s="75"/>
      <c r="F113" s="77" t="str">
        <f aca="false">IFERROR(IF(D113="","",D113*E113),"")</f>
        <v/>
      </c>
      <c r="G113" s="75"/>
      <c r="H113" s="75"/>
      <c r="I113" s="77" t="str">
        <f aca="false">IFERROR(IF(G113="","",G113*H113),"")</f>
        <v/>
      </c>
      <c r="J113" s="75"/>
      <c r="K113" s="75"/>
      <c r="L113" s="77" t="str">
        <f aca="false">IFERROR(IF(J113="","",J113*K113),"")</f>
        <v/>
      </c>
      <c r="M113" s="75"/>
      <c r="N113" s="75"/>
      <c r="O113" s="77" t="str">
        <f aca="false">IFERROR(IF(M113="","",M113*N113),"")</f>
        <v/>
      </c>
      <c r="P113" s="75"/>
      <c r="Q113" s="75"/>
      <c r="R113" s="77" t="str">
        <f aca="false">IFERROR(IF(P113="","",P113*Q113),"")</f>
        <v/>
      </c>
      <c r="S113" s="75"/>
      <c r="T113" s="75"/>
      <c r="U113" s="77" t="str">
        <f aca="false">IFERROR(IF(S113="","",S113*T113),"")</f>
        <v/>
      </c>
      <c r="V113" s="75"/>
      <c r="W113" s="75"/>
      <c r="X113" s="77" t="str">
        <f aca="false">IFERROR(IF(V113="","",V113*W113),"")</f>
        <v/>
      </c>
      <c r="Y113" s="75"/>
      <c r="Z113" s="75"/>
      <c r="AA113" s="77" t="str">
        <f aca="false">IFERROR(IF(Y113="","",Y113*Z113),"")</f>
        <v/>
      </c>
      <c r="AB113" s="75"/>
      <c r="AC113" s="75"/>
      <c r="AD113" s="77" t="str">
        <f aca="false">IFERROR(IF(AB113="","",AB113*AC113),"")</f>
        <v/>
      </c>
      <c r="AE113" s="75"/>
      <c r="AF113" s="75"/>
      <c r="AG113" s="77" t="str">
        <f aca="false">IFERROR(IF(AE113="","",AE113*AF113),"")</f>
        <v/>
      </c>
      <c r="AH113" s="75"/>
      <c r="AI113" s="75"/>
      <c r="AJ113" s="77" t="str">
        <f aca="false">IFERROR(IF(AH113="","",AH113*AI113),"")</f>
        <v/>
      </c>
      <c r="AK113" s="75"/>
      <c r="AL113" s="75"/>
      <c r="AM113" s="77" t="str">
        <f aca="false">IFERROR(IF(AK113="","",AK113*AL113),"")</f>
        <v/>
      </c>
      <c r="AN113" s="75"/>
    </row>
    <row r="114" customFormat="false" ht="15.75" hidden="false" customHeight="true" outlineLevel="0" collapsed="false">
      <c r="A114" s="60" t="n">
        <v>107</v>
      </c>
      <c r="B114" s="72"/>
      <c r="C114" s="73"/>
      <c r="D114" s="72"/>
      <c r="E114" s="72"/>
      <c r="F114" s="74" t="str">
        <f aca="false">IFERROR(IF(D114="","",D114*E114),"")</f>
        <v/>
      </c>
      <c r="G114" s="72"/>
      <c r="H114" s="72"/>
      <c r="I114" s="74" t="str">
        <f aca="false">IFERROR(IF(G114="","",G114*H114),"")</f>
        <v/>
      </c>
      <c r="J114" s="72"/>
      <c r="K114" s="72"/>
      <c r="L114" s="74" t="str">
        <f aca="false">IFERROR(IF(J114="","",J114*K114),"")</f>
        <v/>
      </c>
      <c r="M114" s="72"/>
      <c r="N114" s="72"/>
      <c r="O114" s="74" t="str">
        <f aca="false">IFERROR(IF(M114="","",M114*N114),"")</f>
        <v/>
      </c>
      <c r="P114" s="72"/>
      <c r="Q114" s="72"/>
      <c r="R114" s="74" t="str">
        <f aca="false">IFERROR(IF(P114="","",P114*Q114),"")</f>
        <v/>
      </c>
      <c r="S114" s="72"/>
      <c r="T114" s="72"/>
      <c r="U114" s="74" t="str">
        <f aca="false">IFERROR(IF(S114="","",S114*T114),"")</f>
        <v/>
      </c>
      <c r="V114" s="72"/>
      <c r="W114" s="72"/>
      <c r="X114" s="74" t="str">
        <f aca="false">IFERROR(IF(V114="","",V114*W114),"")</f>
        <v/>
      </c>
      <c r="Y114" s="72"/>
      <c r="Z114" s="72"/>
      <c r="AA114" s="74" t="str">
        <f aca="false">IFERROR(IF(Y114="","",Y114*Z114),"")</f>
        <v/>
      </c>
      <c r="AB114" s="72"/>
      <c r="AC114" s="72"/>
      <c r="AD114" s="74" t="str">
        <f aca="false">IFERROR(IF(AB114="","",AB114*AC114),"")</f>
        <v/>
      </c>
      <c r="AE114" s="72"/>
      <c r="AF114" s="72"/>
      <c r="AG114" s="74" t="str">
        <f aca="false">IFERROR(IF(AE114="","",AE114*AF114),"")</f>
        <v/>
      </c>
      <c r="AH114" s="72"/>
      <c r="AI114" s="72"/>
      <c r="AJ114" s="74" t="str">
        <f aca="false">IFERROR(IF(AH114="","",AH114*AI114),"")</f>
        <v/>
      </c>
      <c r="AK114" s="72"/>
      <c r="AL114" s="72"/>
      <c r="AM114" s="74" t="str">
        <f aca="false">IFERROR(IF(AK114="","",AK114*AL114),"")</f>
        <v/>
      </c>
      <c r="AN114" s="72"/>
    </row>
    <row r="115" customFormat="false" ht="15.75" hidden="false" customHeight="true" outlineLevel="0" collapsed="false">
      <c r="A115" s="62" t="n">
        <v>108</v>
      </c>
      <c r="B115" s="75"/>
      <c r="C115" s="76"/>
      <c r="D115" s="75"/>
      <c r="E115" s="75"/>
      <c r="F115" s="77" t="str">
        <f aca="false">IFERROR(IF(D115="","",D115*E115),"")</f>
        <v/>
      </c>
      <c r="G115" s="75"/>
      <c r="H115" s="75"/>
      <c r="I115" s="77" t="str">
        <f aca="false">IFERROR(IF(G115="","",G115*H115),"")</f>
        <v/>
      </c>
      <c r="J115" s="75"/>
      <c r="K115" s="75"/>
      <c r="L115" s="77" t="str">
        <f aca="false">IFERROR(IF(J115="","",J115*K115),"")</f>
        <v/>
      </c>
      <c r="M115" s="75"/>
      <c r="N115" s="75"/>
      <c r="O115" s="77" t="str">
        <f aca="false">IFERROR(IF(M115="","",M115*N115),"")</f>
        <v/>
      </c>
      <c r="P115" s="75"/>
      <c r="Q115" s="75"/>
      <c r="R115" s="77" t="str">
        <f aca="false">IFERROR(IF(P115="","",P115*Q115),"")</f>
        <v/>
      </c>
      <c r="S115" s="75"/>
      <c r="T115" s="75"/>
      <c r="U115" s="77" t="str">
        <f aca="false">IFERROR(IF(S115="","",S115*T115),"")</f>
        <v/>
      </c>
      <c r="V115" s="75"/>
      <c r="W115" s="75"/>
      <c r="X115" s="77" t="str">
        <f aca="false">IFERROR(IF(V115="","",V115*W115),"")</f>
        <v/>
      </c>
      <c r="Y115" s="75"/>
      <c r="Z115" s="75"/>
      <c r="AA115" s="77" t="str">
        <f aca="false">IFERROR(IF(Y115="","",Y115*Z115),"")</f>
        <v/>
      </c>
      <c r="AB115" s="75"/>
      <c r="AC115" s="75"/>
      <c r="AD115" s="77" t="str">
        <f aca="false">IFERROR(IF(AB115="","",AB115*AC115),"")</f>
        <v/>
      </c>
      <c r="AE115" s="75"/>
      <c r="AF115" s="75"/>
      <c r="AG115" s="77" t="str">
        <f aca="false">IFERROR(IF(AE115="","",AE115*AF115),"")</f>
        <v/>
      </c>
      <c r="AH115" s="75"/>
      <c r="AI115" s="75"/>
      <c r="AJ115" s="77" t="str">
        <f aca="false">IFERROR(IF(AH115="","",AH115*AI115),"")</f>
        <v/>
      </c>
      <c r="AK115" s="75"/>
      <c r="AL115" s="75"/>
      <c r="AM115" s="77" t="str">
        <f aca="false">IFERROR(IF(AK115="","",AK115*AL115),"")</f>
        <v/>
      </c>
      <c r="AN115" s="75"/>
    </row>
    <row r="116" customFormat="false" ht="15.75" hidden="false" customHeight="true" outlineLevel="0" collapsed="false">
      <c r="A116" s="60" t="n">
        <v>109</v>
      </c>
      <c r="B116" s="72"/>
      <c r="C116" s="73"/>
      <c r="D116" s="72"/>
      <c r="E116" s="72"/>
      <c r="F116" s="74" t="str">
        <f aca="false">IFERROR(IF(D116="","",D116*E116),"")</f>
        <v/>
      </c>
      <c r="G116" s="72"/>
      <c r="H116" s="72"/>
      <c r="I116" s="74" t="str">
        <f aca="false">IFERROR(IF(G116="","",G116*H116),"")</f>
        <v/>
      </c>
      <c r="J116" s="72"/>
      <c r="K116" s="72"/>
      <c r="L116" s="74" t="str">
        <f aca="false">IFERROR(IF(J116="","",J116*K116),"")</f>
        <v/>
      </c>
      <c r="M116" s="72"/>
      <c r="N116" s="72"/>
      <c r="O116" s="74" t="str">
        <f aca="false">IFERROR(IF(M116="","",M116*N116),"")</f>
        <v/>
      </c>
      <c r="P116" s="72"/>
      <c r="Q116" s="72"/>
      <c r="R116" s="74" t="str">
        <f aca="false">IFERROR(IF(P116="","",P116*Q116),"")</f>
        <v/>
      </c>
      <c r="S116" s="72"/>
      <c r="T116" s="72"/>
      <c r="U116" s="74" t="str">
        <f aca="false">IFERROR(IF(S116="","",S116*T116),"")</f>
        <v/>
      </c>
      <c r="V116" s="72"/>
      <c r="W116" s="72"/>
      <c r="X116" s="74" t="str">
        <f aca="false">IFERROR(IF(V116="","",V116*W116),"")</f>
        <v/>
      </c>
      <c r="Y116" s="72"/>
      <c r="Z116" s="72"/>
      <c r="AA116" s="74" t="str">
        <f aca="false">IFERROR(IF(Y116="","",Y116*Z116),"")</f>
        <v/>
      </c>
      <c r="AB116" s="72"/>
      <c r="AC116" s="72"/>
      <c r="AD116" s="74" t="str">
        <f aca="false">IFERROR(IF(AB116="","",AB116*AC116),"")</f>
        <v/>
      </c>
      <c r="AE116" s="72"/>
      <c r="AF116" s="72"/>
      <c r="AG116" s="74" t="str">
        <f aca="false">IFERROR(IF(AE116="","",AE116*AF116),"")</f>
        <v/>
      </c>
      <c r="AH116" s="72"/>
      <c r="AI116" s="72"/>
      <c r="AJ116" s="74" t="str">
        <f aca="false">IFERROR(IF(AH116="","",AH116*AI116),"")</f>
        <v/>
      </c>
      <c r="AK116" s="72"/>
      <c r="AL116" s="72"/>
      <c r="AM116" s="74" t="str">
        <f aca="false">IFERROR(IF(AK116="","",AK116*AL116),"")</f>
        <v/>
      </c>
      <c r="AN116" s="72"/>
    </row>
    <row r="117" customFormat="false" ht="15.75" hidden="false" customHeight="true" outlineLevel="0" collapsed="false">
      <c r="A117" s="62" t="n">
        <v>110</v>
      </c>
      <c r="B117" s="75"/>
      <c r="C117" s="76"/>
      <c r="D117" s="75"/>
      <c r="E117" s="75"/>
      <c r="F117" s="77" t="str">
        <f aca="false">IFERROR(IF(D117="","",D117*E117),"")</f>
        <v/>
      </c>
      <c r="G117" s="75"/>
      <c r="H117" s="75"/>
      <c r="I117" s="77" t="str">
        <f aca="false">IFERROR(IF(G117="","",G117*H117),"")</f>
        <v/>
      </c>
      <c r="J117" s="75"/>
      <c r="K117" s="75"/>
      <c r="L117" s="77" t="str">
        <f aca="false">IFERROR(IF(J117="","",J117*K117),"")</f>
        <v/>
      </c>
      <c r="M117" s="75"/>
      <c r="N117" s="75"/>
      <c r="O117" s="77" t="str">
        <f aca="false">IFERROR(IF(M117="","",M117*N117),"")</f>
        <v/>
      </c>
      <c r="P117" s="75"/>
      <c r="Q117" s="75"/>
      <c r="R117" s="77" t="str">
        <f aca="false">IFERROR(IF(P117="","",P117*Q117),"")</f>
        <v/>
      </c>
      <c r="S117" s="75"/>
      <c r="T117" s="75"/>
      <c r="U117" s="77" t="str">
        <f aca="false">IFERROR(IF(S117="","",S117*T117),"")</f>
        <v/>
      </c>
      <c r="V117" s="75"/>
      <c r="W117" s="75"/>
      <c r="X117" s="77" t="str">
        <f aca="false">IFERROR(IF(V117="","",V117*W117),"")</f>
        <v/>
      </c>
      <c r="Y117" s="75"/>
      <c r="Z117" s="75"/>
      <c r="AA117" s="77" t="str">
        <f aca="false">IFERROR(IF(Y117="","",Y117*Z117),"")</f>
        <v/>
      </c>
      <c r="AB117" s="75"/>
      <c r="AC117" s="75"/>
      <c r="AD117" s="77" t="str">
        <f aca="false">IFERROR(IF(AB117="","",AB117*AC117),"")</f>
        <v/>
      </c>
      <c r="AE117" s="75"/>
      <c r="AF117" s="75"/>
      <c r="AG117" s="77" t="str">
        <f aca="false">IFERROR(IF(AE117="","",AE117*AF117),"")</f>
        <v/>
      </c>
      <c r="AH117" s="75"/>
      <c r="AI117" s="75"/>
      <c r="AJ117" s="77" t="str">
        <f aca="false">IFERROR(IF(AH117="","",AH117*AI117),"")</f>
        <v/>
      </c>
      <c r="AK117" s="75"/>
      <c r="AL117" s="75"/>
      <c r="AM117" s="77" t="str">
        <f aca="false">IFERROR(IF(AK117="","",AK117*AL117),"")</f>
        <v/>
      </c>
      <c r="AN117" s="75"/>
    </row>
    <row r="118" customFormat="false" ht="15.75" hidden="false" customHeight="true" outlineLevel="0" collapsed="false">
      <c r="A118" s="60" t="n">
        <v>111</v>
      </c>
      <c r="B118" s="72"/>
      <c r="C118" s="73"/>
      <c r="D118" s="72"/>
      <c r="E118" s="72"/>
      <c r="F118" s="74" t="str">
        <f aca="false">IFERROR(IF(D118="","",D118*E118),"")</f>
        <v/>
      </c>
      <c r="G118" s="72"/>
      <c r="H118" s="72"/>
      <c r="I118" s="74" t="str">
        <f aca="false">IFERROR(IF(G118="","",G118*H118),"")</f>
        <v/>
      </c>
      <c r="J118" s="72"/>
      <c r="K118" s="72"/>
      <c r="L118" s="74" t="str">
        <f aca="false">IFERROR(IF(J118="","",J118*K118),"")</f>
        <v/>
      </c>
      <c r="M118" s="72"/>
      <c r="N118" s="72"/>
      <c r="O118" s="74" t="str">
        <f aca="false">IFERROR(IF(M118="","",M118*N118),"")</f>
        <v/>
      </c>
      <c r="P118" s="72"/>
      <c r="Q118" s="72"/>
      <c r="R118" s="74" t="str">
        <f aca="false">IFERROR(IF(P118="","",P118*Q118),"")</f>
        <v/>
      </c>
      <c r="S118" s="72"/>
      <c r="T118" s="72"/>
      <c r="U118" s="74" t="str">
        <f aca="false">IFERROR(IF(S118="","",S118*T118),"")</f>
        <v/>
      </c>
      <c r="V118" s="72"/>
      <c r="W118" s="72"/>
      <c r="X118" s="74" t="str">
        <f aca="false">IFERROR(IF(V118="","",V118*W118),"")</f>
        <v/>
      </c>
      <c r="Y118" s="72"/>
      <c r="Z118" s="72"/>
      <c r="AA118" s="74" t="str">
        <f aca="false">IFERROR(IF(Y118="","",Y118*Z118),"")</f>
        <v/>
      </c>
      <c r="AB118" s="72"/>
      <c r="AC118" s="72"/>
      <c r="AD118" s="74" t="str">
        <f aca="false">IFERROR(IF(AB118="","",AB118*AC118),"")</f>
        <v/>
      </c>
      <c r="AE118" s="72"/>
      <c r="AF118" s="72"/>
      <c r="AG118" s="74" t="str">
        <f aca="false">IFERROR(IF(AE118="","",AE118*AF118),"")</f>
        <v/>
      </c>
      <c r="AH118" s="72"/>
      <c r="AI118" s="72"/>
      <c r="AJ118" s="74" t="str">
        <f aca="false">IFERROR(IF(AH118="","",AH118*AI118),"")</f>
        <v/>
      </c>
      <c r="AK118" s="72"/>
      <c r="AL118" s="72"/>
      <c r="AM118" s="74" t="str">
        <f aca="false">IFERROR(IF(AK118="","",AK118*AL118),"")</f>
        <v/>
      </c>
      <c r="AN118" s="72"/>
    </row>
    <row r="119" customFormat="false" ht="15.75" hidden="false" customHeight="true" outlineLevel="0" collapsed="false">
      <c r="A119" s="62" t="n">
        <v>112</v>
      </c>
      <c r="B119" s="75"/>
      <c r="C119" s="76"/>
      <c r="D119" s="75"/>
      <c r="E119" s="75"/>
      <c r="F119" s="77" t="str">
        <f aca="false">IFERROR(IF(D119="","",D119*E119),"")</f>
        <v/>
      </c>
      <c r="G119" s="75"/>
      <c r="H119" s="75"/>
      <c r="I119" s="77" t="str">
        <f aca="false">IFERROR(IF(G119="","",G119*H119),"")</f>
        <v/>
      </c>
      <c r="J119" s="75"/>
      <c r="K119" s="75"/>
      <c r="L119" s="77" t="str">
        <f aca="false">IFERROR(IF(J119="","",J119*K119),"")</f>
        <v/>
      </c>
      <c r="M119" s="75"/>
      <c r="N119" s="75"/>
      <c r="O119" s="77" t="str">
        <f aca="false">IFERROR(IF(M119="","",M119*N119),"")</f>
        <v/>
      </c>
      <c r="P119" s="75"/>
      <c r="Q119" s="75"/>
      <c r="R119" s="77" t="str">
        <f aca="false">IFERROR(IF(P119="","",P119*Q119),"")</f>
        <v/>
      </c>
      <c r="S119" s="75"/>
      <c r="T119" s="75"/>
      <c r="U119" s="77" t="str">
        <f aca="false">IFERROR(IF(S119="","",S119*T119),"")</f>
        <v/>
      </c>
      <c r="V119" s="75"/>
      <c r="W119" s="75"/>
      <c r="X119" s="77" t="str">
        <f aca="false">IFERROR(IF(V119="","",V119*W119),"")</f>
        <v/>
      </c>
      <c r="Y119" s="75"/>
      <c r="Z119" s="75"/>
      <c r="AA119" s="77" t="str">
        <f aca="false">IFERROR(IF(Y119="","",Y119*Z119),"")</f>
        <v/>
      </c>
      <c r="AB119" s="75"/>
      <c r="AC119" s="75"/>
      <c r="AD119" s="77" t="str">
        <f aca="false">IFERROR(IF(AB119="","",AB119*AC119),"")</f>
        <v/>
      </c>
      <c r="AE119" s="75"/>
      <c r="AF119" s="75"/>
      <c r="AG119" s="77" t="str">
        <f aca="false">IFERROR(IF(AE119="","",AE119*AF119),"")</f>
        <v/>
      </c>
      <c r="AH119" s="75"/>
      <c r="AI119" s="75"/>
      <c r="AJ119" s="77" t="str">
        <f aca="false">IFERROR(IF(AH119="","",AH119*AI119),"")</f>
        <v/>
      </c>
      <c r="AK119" s="75"/>
      <c r="AL119" s="75"/>
      <c r="AM119" s="77" t="str">
        <f aca="false">IFERROR(IF(AK119="","",AK119*AL119),"")</f>
        <v/>
      </c>
      <c r="AN119" s="75"/>
    </row>
    <row r="120" customFormat="false" ht="15.75" hidden="false" customHeight="true" outlineLevel="0" collapsed="false">
      <c r="A120" s="60" t="n">
        <v>113</v>
      </c>
      <c r="B120" s="72"/>
      <c r="C120" s="73"/>
      <c r="D120" s="72"/>
      <c r="E120" s="72"/>
      <c r="F120" s="74" t="str">
        <f aca="false">IFERROR(IF(D120="","",D120*E120),"")</f>
        <v/>
      </c>
      <c r="G120" s="72"/>
      <c r="H120" s="72"/>
      <c r="I120" s="74" t="str">
        <f aca="false">IFERROR(IF(G120="","",G120*H120),"")</f>
        <v/>
      </c>
      <c r="J120" s="72"/>
      <c r="K120" s="72"/>
      <c r="L120" s="74" t="str">
        <f aca="false">IFERROR(IF(J120="","",J120*K120),"")</f>
        <v/>
      </c>
      <c r="M120" s="72"/>
      <c r="N120" s="72"/>
      <c r="O120" s="74" t="str">
        <f aca="false">IFERROR(IF(M120="","",M120*N120),"")</f>
        <v/>
      </c>
      <c r="P120" s="72"/>
      <c r="Q120" s="72"/>
      <c r="R120" s="74" t="str">
        <f aca="false">IFERROR(IF(P120="","",P120*Q120),"")</f>
        <v/>
      </c>
      <c r="S120" s="72"/>
      <c r="T120" s="72"/>
      <c r="U120" s="74" t="str">
        <f aca="false">IFERROR(IF(S120="","",S120*T120),"")</f>
        <v/>
      </c>
      <c r="V120" s="72"/>
      <c r="W120" s="72"/>
      <c r="X120" s="74" t="str">
        <f aca="false">IFERROR(IF(V120="","",V120*W120),"")</f>
        <v/>
      </c>
      <c r="Y120" s="72"/>
      <c r="Z120" s="72"/>
      <c r="AA120" s="74" t="str">
        <f aca="false">IFERROR(IF(Y120="","",Y120*Z120),"")</f>
        <v/>
      </c>
      <c r="AB120" s="72"/>
      <c r="AC120" s="72"/>
      <c r="AD120" s="74" t="str">
        <f aca="false">IFERROR(IF(AB120="","",AB120*AC120),"")</f>
        <v/>
      </c>
      <c r="AE120" s="72"/>
      <c r="AF120" s="72"/>
      <c r="AG120" s="74" t="str">
        <f aca="false">IFERROR(IF(AE120="","",AE120*AF120),"")</f>
        <v/>
      </c>
      <c r="AH120" s="72"/>
      <c r="AI120" s="72"/>
      <c r="AJ120" s="74" t="str">
        <f aca="false">IFERROR(IF(AH120="","",AH120*AI120),"")</f>
        <v/>
      </c>
      <c r="AK120" s="72"/>
      <c r="AL120" s="72"/>
      <c r="AM120" s="74" t="str">
        <f aca="false">IFERROR(IF(AK120="","",AK120*AL120),"")</f>
        <v/>
      </c>
      <c r="AN120" s="72"/>
    </row>
    <row r="121" customFormat="false" ht="15.75" hidden="false" customHeight="true" outlineLevel="0" collapsed="false">
      <c r="A121" s="62" t="n">
        <v>114</v>
      </c>
      <c r="B121" s="75"/>
      <c r="C121" s="76"/>
      <c r="D121" s="75"/>
      <c r="E121" s="75"/>
      <c r="F121" s="77" t="str">
        <f aca="false">IFERROR(IF(D121="","",D121*E121),"")</f>
        <v/>
      </c>
      <c r="G121" s="75"/>
      <c r="H121" s="75"/>
      <c r="I121" s="77" t="str">
        <f aca="false">IFERROR(IF(G121="","",G121*H121),"")</f>
        <v/>
      </c>
      <c r="J121" s="75"/>
      <c r="K121" s="75"/>
      <c r="L121" s="77" t="str">
        <f aca="false">IFERROR(IF(J121="","",J121*K121),"")</f>
        <v/>
      </c>
      <c r="M121" s="75"/>
      <c r="N121" s="75"/>
      <c r="O121" s="77" t="str">
        <f aca="false">IFERROR(IF(M121="","",M121*N121),"")</f>
        <v/>
      </c>
      <c r="P121" s="75"/>
      <c r="Q121" s="75"/>
      <c r="R121" s="77" t="str">
        <f aca="false">IFERROR(IF(P121="","",P121*Q121),"")</f>
        <v/>
      </c>
      <c r="S121" s="75"/>
      <c r="T121" s="75"/>
      <c r="U121" s="77" t="str">
        <f aca="false">IFERROR(IF(S121="","",S121*T121),"")</f>
        <v/>
      </c>
      <c r="V121" s="75"/>
      <c r="W121" s="75"/>
      <c r="X121" s="77" t="str">
        <f aca="false">IFERROR(IF(V121="","",V121*W121),"")</f>
        <v/>
      </c>
      <c r="Y121" s="75"/>
      <c r="Z121" s="75"/>
      <c r="AA121" s="77" t="str">
        <f aca="false">IFERROR(IF(Y121="","",Y121*Z121),"")</f>
        <v/>
      </c>
      <c r="AB121" s="75"/>
      <c r="AC121" s="75"/>
      <c r="AD121" s="77" t="str">
        <f aca="false">IFERROR(IF(AB121="","",AB121*AC121),"")</f>
        <v/>
      </c>
      <c r="AE121" s="75"/>
      <c r="AF121" s="75"/>
      <c r="AG121" s="77" t="str">
        <f aca="false">IFERROR(IF(AE121="","",AE121*AF121),"")</f>
        <v/>
      </c>
      <c r="AH121" s="75"/>
      <c r="AI121" s="75"/>
      <c r="AJ121" s="77" t="str">
        <f aca="false">IFERROR(IF(AH121="","",AH121*AI121),"")</f>
        <v/>
      </c>
      <c r="AK121" s="75"/>
      <c r="AL121" s="75"/>
      <c r="AM121" s="77" t="str">
        <f aca="false">IFERROR(IF(AK121="","",AK121*AL121),"")</f>
        <v/>
      </c>
      <c r="AN121" s="75"/>
    </row>
    <row r="122" customFormat="false" ht="15.75" hidden="false" customHeight="true" outlineLevel="0" collapsed="false">
      <c r="A122" s="60" t="n">
        <v>115</v>
      </c>
      <c r="B122" s="72"/>
      <c r="C122" s="73"/>
      <c r="D122" s="72"/>
      <c r="E122" s="72"/>
      <c r="F122" s="74" t="str">
        <f aca="false">IFERROR(IF(D122="","",D122*E122),"")</f>
        <v/>
      </c>
      <c r="G122" s="72"/>
      <c r="H122" s="72"/>
      <c r="I122" s="74" t="str">
        <f aca="false">IFERROR(IF(G122="","",G122*H122),"")</f>
        <v/>
      </c>
      <c r="J122" s="72"/>
      <c r="K122" s="72"/>
      <c r="L122" s="74" t="str">
        <f aca="false">IFERROR(IF(J122="","",J122*K122),"")</f>
        <v/>
      </c>
      <c r="M122" s="72"/>
      <c r="N122" s="72"/>
      <c r="O122" s="74" t="str">
        <f aca="false">IFERROR(IF(M122="","",M122*N122),"")</f>
        <v/>
      </c>
      <c r="P122" s="72"/>
      <c r="Q122" s="72"/>
      <c r="R122" s="74" t="str">
        <f aca="false">IFERROR(IF(P122="","",P122*Q122),"")</f>
        <v/>
      </c>
      <c r="S122" s="72"/>
      <c r="T122" s="72"/>
      <c r="U122" s="74" t="str">
        <f aca="false">IFERROR(IF(S122="","",S122*T122),"")</f>
        <v/>
      </c>
      <c r="V122" s="72"/>
      <c r="W122" s="72"/>
      <c r="X122" s="74" t="str">
        <f aca="false">IFERROR(IF(V122="","",V122*W122),"")</f>
        <v/>
      </c>
      <c r="Y122" s="72"/>
      <c r="Z122" s="72"/>
      <c r="AA122" s="74" t="str">
        <f aca="false">IFERROR(IF(Y122="","",Y122*Z122),"")</f>
        <v/>
      </c>
      <c r="AB122" s="72"/>
      <c r="AC122" s="72"/>
      <c r="AD122" s="74" t="str">
        <f aca="false">IFERROR(IF(AB122="","",AB122*AC122),"")</f>
        <v/>
      </c>
      <c r="AE122" s="72"/>
      <c r="AF122" s="72"/>
      <c r="AG122" s="74" t="str">
        <f aca="false">IFERROR(IF(AE122="","",AE122*AF122),"")</f>
        <v/>
      </c>
      <c r="AH122" s="72"/>
      <c r="AI122" s="72"/>
      <c r="AJ122" s="74" t="str">
        <f aca="false">IFERROR(IF(AH122="","",AH122*AI122),"")</f>
        <v/>
      </c>
      <c r="AK122" s="72"/>
      <c r="AL122" s="72"/>
      <c r="AM122" s="74" t="str">
        <f aca="false">IFERROR(IF(AK122="","",AK122*AL122),"")</f>
        <v/>
      </c>
      <c r="AN122" s="72"/>
    </row>
    <row r="123" customFormat="false" ht="15.75" hidden="false" customHeight="true" outlineLevel="0" collapsed="false">
      <c r="A123" s="62" t="n">
        <v>116</v>
      </c>
      <c r="B123" s="75"/>
      <c r="C123" s="76"/>
      <c r="D123" s="75"/>
      <c r="E123" s="75"/>
      <c r="F123" s="77" t="str">
        <f aca="false">IFERROR(IF(D123="","",D123*E123),"")</f>
        <v/>
      </c>
      <c r="G123" s="75"/>
      <c r="H123" s="75"/>
      <c r="I123" s="77" t="str">
        <f aca="false">IFERROR(IF(G123="","",G123*H123),"")</f>
        <v/>
      </c>
      <c r="J123" s="75"/>
      <c r="K123" s="75"/>
      <c r="L123" s="77" t="str">
        <f aca="false">IFERROR(IF(J123="","",J123*K123),"")</f>
        <v/>
      </c>
      <c r="M123" s="75"/>
      <c r="N123" s="75"/>
      <c r="O123" s="77" t="str">
        <f aca="false">IFERROR(IF(M123="","",M123*N123),"")</f>
        <v/>
      </c>
      <c r="P123" s="75"/>
      <c r="Q123" s="75"/>
      <c r="R123" s="77" t="str">
        <f aca="false">IFERROR(IF(P123="","",P123*Q123),"")</f>
        <v/>
      </c>
      <c r="S123" s="75"/>
      <c r="T123" s="75"/>
      <c r="U123" s="77" t="str">
        <f aca="false">IFERROR(IF(S123="","",S123*T123),"")</f>
        <v/>
      </c>
      <c r="V123" s="75"/>
      <c r="W123" s="75"/>
      <c r="X123" s="77" t="str">
        <f aca="false">IFERROR(IF(V123="","",V123*W123),"")</f>
        <v/>
      </c>
      <c r="Y123" s="75"/>
      <c r="Z123" s="75"/>
      <c r="AA123" s="77" t="str">
        <f aca="false">IFERROR(IF(Y123="","",Y123*Z123),"")</f>
        <v/>
      </c>
      <c r="AB123" s="75"/>
      <c r="AC123" s="75"/>
      <c r="AD123" s="77" t="str">
        <f aca="false">IFERROR(IF(AB123="","",AB123*AC123),"")</f>
        <v/>
      </c>
      <c r="AE123" s="75"/>
      <c r="AF123" s="75"/>
      <c r="AG123" s="77" t="str">
        <f aca="false">IFERROR(IF(AE123="","",AE123*AF123),"")</f>
        <v/>
      </c>
      <c r="AH123" s="75"/>
      <c r="AI123" s="75"/>
      <c r="AJ123" s="77" t="str">
        <f aca="false">IFERROR(IF(AH123="","",AH123*AI123),"")</f>
        <v/>
      </c>
      <c r="AK123" s="75"/>
      <c r="AL123" s="75"/>
      <c r="AM123" s="77" t="str">
        <f aca="false">IFERROR(IF(AK123="","",AK123*AL123),"")</f>
        <v/>
      </c>
      <c r="AN123" s="75"/>
    </row>
    <row r="124" customFormat="false" ht="15.75" hidden="false" customHeight="true" outlineLevel="0" collapsed="false">
      <c r="A124" s="60" t="n">
        <v>117</v>
      </c>
      <c r="B124" s="72"/>
      <c r="C124" s="73"/>
      <c r="D124" s="72"/>
      <c r="E124" s="72"/>
      <c r="F124" s="74" t="str">
        <f aca="false">IFERROR(IF(D124="","",D124*E124),"")</f>
        <v/>
      </c>
      <c r="G124" s="72"/>
      <c r="H124" s="72"/>
      <c r="I124" s="74" t="str">
        <f aca="false">IFERROR(IF(G124="","",G124*H124),"")</f>
        <v/>
      </c>
      <c r="J124" s="72"/>
      <c r="K124" s="72"/>
      <c r="L124" s="74" t="str">
        <f aca="false">IFERROR(IF(J124="","",J124*K124),"")</f>
        <v/>
      </c>
      <c r="M124" s="72"/>
      <c r="N124" s="72"/>
      <c r="O124" s="74" t="str">
        <f aca="false">IFERROR(IF(M124="","",M124*N124),"")</f>
        <v/>
      </c>
      <c r="P124" s="72"/>
      <c r="Q124" s="72"/>
      <c r="R124" s="74" t="str">
        <f aca="false">IFERROR(IF(P124="","",P124*Q124),"")</f>
        <v/>
      </c>
      <c r="S124" s="72"/>
      <c r="T124" s="72"/>
      <c r="U124" s="74" t="str">
        <f aca="false">IFERROR(IF(S124="","",S124*T124),"")</f>
        <v/>
      </c>
      <c r="V124" s="72"/>
      <c r="W124" s="72"/>
      <c r="X124" s="74" t="str">
        <f aca="false">IFERROR(IF(V124="","",V124*W124),"")</f>
        <v/>
      </c>
      <c r="Y124" s="72"/>
      <c r="Z124" s="72"/>
      <c r="AA124" s="74" t="str">
        <f aca="false">IFERROR(IF(Y124="","",Y124*Z124),"")</f>
        <v/>
      </c>
      <c r="AB124" s="72"/>
      <c r="AC124" s="72"/>
      <c r="AD124" s="74" t="str">
        <f aca="false">IFERROR(IF(AB124="","",AB124*AC124),"")</f>
        <v/>
      </c>
      <c r="AE124" s="72"/>
      <c r="AF124" s="72"/>
      <c r="AG124" s="74" t="str">
        <f aca="false">IFERROR(IF(AE124="","",AE124*AF124),"")</f>
        <v/>
      </c>
      <c r="AH124" s="72"/>
      <c r="AI124" s="72"/>
      <c r="AJ124" s="74" t="str">
        <f aca="false">IFERROR(IF(AH124="","",AH124*AI124),"")</f>
        <v/>
      </c>
      <c r="AK124" s="72"/>
      <c r="AL124" s="72"/>
      <c r="AM124" s="74" t="str">
        <f aca="false">IFERROR(IF(AK124="","",AK124*AL124),"")</f>
        <v/>
      </c>
      <c r="AN124" s="72"/>
    </row>
    <row r="125" customFormat="false" ht="15.75" hidden="false" customHeight="true" outlineLevel="0" collapsed="false">
      <c r="A125" s="62" t="n">
        <v>118</v>
      </c>
      <c r="B125" s="75"/>
      <c r="C125" s="76"/>
      <c r="D125" s="75"/>
      <c r="E125" s="75"/>
      <c r="F125" s="77" t="str">
        <f aca="false">IFERROR(IF(D125="","",D125*E125),"")</f>
        <v/>
      </c>
      <c r="G125" s="75"/>
      <c r="H125" s="75"/>
      <c r="I125" s="77" t="str">
        <f aca="false">IFERROR(IF(G125="","",G125*H125),"")</f>
        <v/>
      </c>
      <c r="J125" s="75"/>
      <c r="K125" s="75"/>
      <c r="L125" s="77" t="str">
        <f aca="false">IFERROR(IF(J125="","",J125*K125),"")</f>
        <v/>
      </c>
      <c r="M125" s="75"/>
      <c r="N125" s="75"/>
      <c r="O125" s="77" t="str">
        <f aca="false">IFERROR(IF(M125="","",M125*N125),"")</f>
        <v/>
      </c>
      <c r="P125" s="75"/>
      <c r="Q125" s="75"/>
      <c r="R125" s="77" t="str">
        <f aca="false">IFERROR(IF(P125="","",P125*Q125),"")</f>
        <v/>
      </c>
      <c r="S125" s="75"/>
      <c r="T125" s="75"/>
      <c r="U125" s="77" t="str">
        <f aca="false">IFERROR(IF(S125="","",S125*T125),"")</f>
        <v/>
      </c>
      <c r="V125" s="75"/>
      <c r="W125" s="75"/>
      <c r="X125" s="77" t="str">
        <f aca="false">IFERROR(IF(V125="","",V125*W125),"")</f>
        <v/>
      </c>
      <c r="Y125" s="75"/>
      <c r="Z125" s="75"/>
      <c r="AA125" s="77" t="str">
        <f aca="false">IFERROR(IF(Y125="","",Y125*Z125),"")</f>
        <v/>
      </c>
      <c r="AB125" s="75"/>
      <c r="AC125" s="75"/>
      <c r="AD125" s="77" t="str">
        <f aca="false">IFERROR(IF(AB125="","",AB125*AC125),"")</f>
        <v/>
      </c>
      <c r="AE125" s="75"/>
      <c r="AF125" s="75"/>
      <c r="AG125" s="77" t="str">
        <f aca="false">IFERROR(IF(AE125="","",AE125*AF125),"")</f>
        <v/>
      </c>
      <c r="AH125" s="75"/>
      <c r="AI125" s="75"/>
      <c r="AJ125" s="77" t="str">
        <f aca="false">IFERROR(IF(AH125="","",AH125*AI125),"")</f>
        <v/>
      </c>
      <c r="AK125" s="75"/>
      <c r="AL125" s="75"/>
      <c r="AM125" s="77" t="str">
        <f aca="false">IFERROR(IF(AK125="","",AK125*AL125),"")</f>
        <v/>
      </c>
      <c r="AN125" s="75"/>
    </row>
    <row r="126" customFormat="false" ht="15.75" hidden="false" customHeight="true" outlineLevel="0" collapsed="false">
      <c r="A126" s="60" t="n">
        <v>119</v>
      </c>
      <c r="B126" s="72"/>
      <c r="C126" s="73"/>
      <c r="D126" s="72"/>
      <c r="E126" s="72"/>
      <c r="F126" s="74" t="str">
        <f aca="false">IFERROR(IF(D126="","",D126*E126),"")</f>
        <v/>
      </c>
      <c r="G126" s="72"/>
      <c r="H126" s="72"/>
      <c r="I126" s="74" t="str">
        <f aca="false">IFERROR(IF(G126="","",G126*H126),"")</f>
        <v/>
      </c>
      <c r="J126" s="72"/>
      <c r="K126" s="72"/>
      <c r="L126" s="74" t="str">
        <f aca="false">IFERROR(IF(J126="","",J126*K126),"")</f>
        <v/>
      </c>
      <c r="M126" s="72"/>
      <c r="N126" s="72"/>
      <c r="O126" s="74" t="str">
        <f aca="false">IFERROR(IF(M126="","",M126*N126),"")</f>
        <v/>
      </c>
      <c r="P126" s="72"/>
      <c r="Q126" s="72"/>
      <c r="R126" s="74" t="str">
        <f aca="false">IFERROR(IF(P126="","",P126*Q126),"")</f>
        <v/>
      </c>
      <c r="S126" s="72"/>
      <c r="T126" s="72"/>
      <c r="U126" s="74" t="str">
        <f aca="false">IFERROR(IF(S126="","",S126*T126),"")</f>
        <v/>
      </c>
      <c r="V126" s="72"/>
      <c r="W126" s="72"/>
      <c r="X126" s="74" t="str">
        <f aca="false">IFERROR(IF(V126="","",V126*W126),"")</f>
        <v/>
      </c>
      <c r="Y126" s="72"/>
      <c r="Z126" s="72"/>
      <c r="AA126" s="74" t="str">
        <f aca="false">IFERROR(IF(Y126="","",Y126*Z126),"")</f>
        <v/>
      </c>
      <c r="AB126" s="72"/>
      <c r="AC126" s="72"/>
      <c r="AD126" s="74" t="str">
        <f aca="false">IFERROR(IF(AB126="","",AB126*AC126),"")</f>
        <v/>
      </c>
      <c r="AE126" s="72"/>
      <c r="AF126" s="72"/>
      <c r="AG126" s="74" t="str">
        <f aca="false">IFERROR(IF(AE126="","",AE126*AF126),"")</f>
        <v/>
      </c>
      <c r="AH126" s="72"/>
      <c r="AI126" s="72"/>
      <c r="AJ126" s="74" t="str">
        <f aca="false">IFERROR(IF(AH126="","",AH126*AI126),"")</f>
        <v/>
      </c>
      <c r="AK126" s="72"/>
      <c r="AL126" s="72"/>
      <c r="AM126" s="74" t="str">
        <f aca="false">IFERROR(IF(AK126="","",AK126*AL126),"")</f>
        <v/>
      </c>
      <c r="AN126" s="72"/>
    </row>
    <row r="127" customFormat="false" ht="15.75" hidden="false" customHeight="true" outlineLevel="0" collapsed="false">
      <c r="A127" s="62" t="n">
        <v>120</v>
      </c>
      <c r="B127" s="75"/>
      <c r="C127" s="76"/>
      <c r="D127" s="75"/>
      <c r="E127" s="75"/>
      <c r="F127" s="77" t="str">
        <f aca="false">IFERROR(IF(D127="","",D127*E127),"")</f>
        <v/>
      </c>
      <c r="G127" s="75"/>
      <c r="H127" s="75"/>
      <c r="I127" s="77" t="str">
        <f aca="false">IFERROR(IF(G127="","",G127*H127),"")</f>
        <v/>
      </c>
      <c r="J127" s="75"/>
      <c r="K127" s="75"/>
      <c r="L127" s="77" t="str">
        <f aca="false">IFERROR(IF(J127="","",J127*K127),"")</f>
        <v/>
      </c>
      <c r="M127" s="75"/>
      <c r="N127" s="75"/>
      <c r="O127" s="77" t="str">
        <f aca="false">IFERROR(IF(M127="","",M127*N127),"")</f>
        <v/>
      </c>
      <c r="P127" s="75"/>
      <c r="Q127" s="75"/>
      <c r="R127" s="77" t="str">
        <f aca="false">IFERROR(IF(P127="","",P127*Q127),"")</f>
        <v/>
      </c>
      <c r="S127" s="75"/>
      <c r="T127" s="75"/>
      <c r="U127" s="77" t="str">
        <f aca="false">IFERROR(IF(S127="","",S127*T127),"")</f>
        <v/>
      </c>
      <c r="V127" s="75"/>
      <c r="W127" s="75"/>
      <c r="X127" s="77" t="str">
        <f aca="false">IFERROR(IF(V127="","",V127*W127),"")</f>
        <v/>
      </c>
      <c r="Y127" s="75"/>
      <c r="Z127" s="75"/>
      <c r="AA127" s="77" t="str">
        <f aca="false">IFERROR(IF(Y127="","",Y127*Z127),"")</f>
        <v/>
      </c>
      <c r="AB127" s="75"/>
      <c r="AC127" s="75"/>
      <c r="AD127" s="77" t="str">
        <f aca="false">IFERROR(IF(AB127="","",AB127*AC127),"")</f>
        <v/>
      </c>
      <c r="AE127" s="75"/>
      <c r="AF127" s="75"/>
      <c r="AG127" s="77" t="str">
        <f aca="false">IFERROR(IF(AE127="","",AE127*AF127),"")</f>
        <v/>
      </c>
      <c r="AH127" s="75"/>
      <c r="AI127" s="75"/>
      <c r="AJ127" s="77" t="str">
        <f aca="false">IFERROR(IF(AH127="","",AH127*AI127),"")</f>
        <v/>
      </c>
      <c r="AK127" s="75"/>
      <c r="AL127" s="75"/>
      <c r="AM127" s="77" t="str">
        <f aca="false">IFERROR(IF(AK127="","",AK127*AL127),"")</f>
        <v/>
      </c>
      <c r="AN127" s="75"/>
    </row>
    <row r="128" customFormat="false" ht="15.75" hidden="false" customHeight="true" outlineLevel="0" collapsed="false">
      <c r="A128" s="60" t="n">
        <v>121</v>
      </c>
      <c r="B128" s="72"/>
      <c r="C128" s="73"/>
      <c r="D128" s="72"/>
      <c r="E128" s="72"/>
      <c r="F128" s="74" t="str">
        <f aca="false">IFERROR(IF(D128="","",D128*E128),"")</f>
        <v/>
      </c>
      <c r="G128" s="72"/>
      <c r="H128" s="72"/>
      <c r="I128" s="74" t="str">
        <f aca="false">IFERROR(IF(G128="","",G128*H128),"")</f>
        <v/>
      </c>
      <c r="J128" s="72"/>
      <c r="K128" s="72"/>
      <c r="L128" s="74" t="str">
        <f aca="false">IFERROR(IF(J128="","",J128*K128),"")</f>
        <v/>
      </c>
      <c r="M128" s="72"/>
      <c r="N128" s="72"/>
      <c r="O128" s="74" t="str">
        <f aca="false">IFERROR(IF(M128="","",M128*N128),"")</f>
        <v/>
      </c>
      <c r="P128" s="72"/>
      <c r="Q128" s="72"/>
      <c r="R128" s="74" t="str">
        <f aca="false">IFERROR(IF(P128="","",P128*Q128),"")</f>
        <v/>
      </c>
      <c r="S128" s="72"/>
      <c r="T128" s="72"/>
      <c r="U128" s="74" t="str">
        <f aca="false">IFERROR(IF(S128="","",S128*T128),"")</f>
        <v/>
      </c>
      <c r="V128" s="72"/>
      <c r="W128" s="72"/>
      <c r="X128" s="74" t="str">
        <f aca="false">IFERROR(IF(V128="","",V128*W128),"")</f>
        <v/>
      </c>
      <c r="Y128" s="72"/>
      <c r="Z128" s="72"/>
      <c r="AA128" s="74" t="str">
        <f aca="false">IFERROR(IF(Y128="","",Y128*Z128),"")</f>
        <v/>
      </c>
      <c r="AB128" s="72"/>
      <c r="AC128" s="72"/>
      <c r="AD128" s="74" t="str">
        <f aca="false">IFERROR(IF(AB128="","",AB128*AC128),"")</f>
        <v/>
      </c>
      <c r="AE128" s="72"/>
      <c r="AF128" s="72"/>
      <c r="AG128" s="74" t="str">
        <f aca="false">IFERROR(IF(AE128="","",AE128*AF128),"")</f>
        <v/>
      </c>
      <c r="AH128" s="72"/>
      <c r="AI128" s="72"/>
      <c r="AJ128" s="74" t="str">
        <f aca="false">IFERROR(IF(AH128="","",AH128*AI128),"")</f>
        <v/>
      </c>
      <c r="AK128" s="72"/>
      <c r="AL128" s="72"/>
      <c r="AM128" s="74" t="str">
        <f aca="false">IFERROR(IF(AK128="","",AK128*AL128),"")</f>
        <v/>
      </c>
      <c r="AN128" s="72"/>
    </row>
    <row r="129" customFormat="false" ht="15.75" hidden="false" customHeight="true" outlineLevel="0" collapsed="false">
      <c r="A129" s="62" t="n">
        <v>122</v>
      </c>
      <c r="B129" s="75"/>
      <c r="C129" s="76"/>
      <c r="D129" s="75"/>
      <c r="E129" s="75"/>
      <c r="F129" s="77" t="str">
        <f aca="false">IFERROR(IF(D129="","",D129*E129),"")</f>
        <v/>
      </c>
      <c r="G129" s="75"/>
      <c r="H129" s="75"/>
      <c r="I129" s="77" t="str">
        <f aca="false">IFERROR(IF(G129="","",G129*H129),"")</f>
        <v/>
      </c>
      <c r="J129" s="75"/>
      <c r="K129" s="75"/>
      <c r="L129" s="77" t="str">
        <f aca="false">IFERROR(IF(J129="","",J129*K129),"")</f>
        <v/>
      </c>
      <c r="M129" s="75"/>
      <c r="N129" s="75"/>
      <c r="O129" s="77" t="str">
        <f aca="false">IFERROR(IF(M129="","",M129*N129),"")</f>
        <v/>
      </c>
      <c r="P129" s="75"/>
      <c r="Q129" s="75"/>
      <c r="R129" s="77" t="str">
        <f aca="false">IFERROR(IF(P129="","",P129*Q129),"")</f>
        <v/>
      </c>
      <c r="S129" s="75"/>
      <c r="T129" s="75"/>
      <c r="U129" s="77" t="str">
        <f aca="false">IFERROR(IF(S129="","",S129*T129),"")</f>
        <v/>
      </c>
      <c r="V129" s="75"/>
      <c r="W129" s="75"/>
      <c r="X129" s="77" t="str">
        <f aca="false">IFERROR(IF(V129="","",V129*W129),"")</f>
        <v/>
      </c>
      <c r="Y129" s="75"/>
      <c r="Z129" s="75"/>
      <c r="AA129" s="77" t="str">
        <f aca="false">IFERROR(IF(Y129="","",Y129*Z129),"")</f>
        <v/>
      </c>
      <c r="AB129" s="75"/>
      <c r="AC129" s="75"/>
      <c r="AD129" s="77" t="str">
        <f aca="false">IFERROR(IF(AB129="","",AB129*AC129),"")</f>
        <v/>
      </c>
      <c r="AE129" s="75"/>
      <c r="AF129" s="75"/>
      <c r="AG129" s="77" t="str">
        <f aca="false">IFERROR(IF(AE129="","",AE129*AF129),"")</f>
        <v/>
      </c>
      <c r="AH129" s="75"/>
      <c r="AI129" s="75"/>
      <c r="AJ129" s="77" t="str">
        <f aca="false">IFERROR(IF(AH129="","",AH129*AI129),"")</f>
        <v/>
      </c>
      <c r="AK129" s="75"/>
      <c r="AL129" s="75"/>
      <c r="AM129" s="77" t="str">
        <f aca="false">IFERROR(IF(AK129="","",AK129*AL129),"")</f>
        <v/>
      </c>
      <c r="AN129" s="75"/>
    </row>
    <row r="130" customFormat="false" ht="15.75" hidden="false" customHeight="true" outlineLevel="0" collapsed="false">
      <c r="A130" s="60" t="n">
        <v>123</v>
      </c>
      <c r="B130" s="72"/>
      <c r="C130" s="73"/>
      <c r="D130" s="72"/>
      <c r="E130" s="72"/>
      <c r="F130" s="74" t="str">
        <f aca="false">IFERROR(IF(D130="","",D130*E130),"")</f>
        <v/>
      </c>
      <c r="G130" s="72"/>
      <c r="H130" s="72"/>
      <c r="I130" s="74" t="str">
        <f aca="false">IFERROR(IF(G130="","",G130*H130),"")</f>
        <v/>
      </c>
      <c r="J130" s="72"/>
      <c r="K130" s="72"/>
      <c r="L130" s="74" t="str">
        <f aca="false">IFERROR(IF(J130="","",J130*K130),"")</f>
        <v/>
      </c>
      <c r="M130" s="72"/>
      <c r="N130" s="72"/>
      <c r="O130" s="74" t="str">
        <f aca="false">IFERROR(IF(M130="","",M130*N130),"")</f>
        <v/>
      </c>
      <c r="P130" s="72"/>
      <c r="Q130" s="72"/>
      <c r="R130" s="74" t="str">
        <f aca="false">IFERROR(IF(P130="","",P130*Q130),"")</f>
        <v/>
      </c>
      <c r="S130" s="72"/>
      <c r="T130" s="72"/>
      <c r="U130" s="74" t="str">
        <f aca="false">IFERROR(IF(S130="","",S130*T130),"")</f>
        <v/>
      </c>
      <c r="V130" s="72"/>
      <c r="W130" s="72"/>
      <c r="X130" s="74" t="str">
        <f aca="false">IFERROR(IF(V130="","",V130*W130),"")</f>
        <v/>
      </c>
      <c r="Y130" s="72"/>
      <c r="Z130" s="72"/>
      <c r="AA130" s="74" t="str">
        <f aca="false">IFERROR(IF(Y130="","",Y130*Z130),"")</f>
        <v/>
      </c>
      <c r="AB130" s="72"/>
      <c r="AC130" s="72"/>
      <c r="AD130" s="74" t="str">
        <f aca="false">IFERROR(IF(AB130="","",AB130*AC130),"")</f>
        <v/>
      </c>
      <c r="AE130" s="72"/>
      <c r="AF130" s="72"/>
      <c r="AG130" s="74" t="str">
        <f aca="false">IFERROR(IF(AE130="","",AE130*AF130),"")</f>
        <v/>
      </c>
      <c r="AH130" s="72"/>
      <c r="AI130" s="72"/>
      <c r="AJ130" s="74" t="str">
        <f aca="false">IFERROR(IF(AH130="","",AH130*AI130),"")</f>
        <v/>
      </c>
      <c r="AK130" s="72"/>
      <c r="AL130" s="72"/>
      <c r="AM130" s="74" t="str">
        <f aca="false">IFERROR(IF(AK130="","",AK130*AL130),"")</f>
        <v/>
      </c>
      <c r="AN130" s="72"/>
    </row>
    <row r="131" customFormat="false" ht="15.75" hidden="false" customHeight="true" outlineLevel="0" collapsed="false">
      <c r="A131" s="62" t="n">
        <v>124</v>
      </c>
      <c r="B131" s="75"/>
      <c r="C131" s="76"/>
      <c r="D131" s="75"/>
      <c r="E131" s="75"/>
      <c r="F131" s="77" t="str">
        <f aca="false">IFERROR(IF(D131="","",D131*E131),"")</f>
        <v/>
      </c>
      <c r="G131" s="75"/>
      <c r="H131" s="75"/>
      <c r="I131" s="77" t="str">
        <f aca="false">IFERROR(IF(G131="","",G131*H131),"")</f>
        <v/>
      </c>
      <c r="J131" s="75"/>
      <c r="K131" s="75"/>
      <c r="L131" s="77" t="str">
        <f aca="false">IFERROR(IF(J131="","",J131*K131),"")</f>
        <v/>
      </c>
      <c r="M131" s="75"/>
      <c r="N131" s="75"/>
      <c r="O131" s="77" t="str">
        <f aca="false">IFERROR(IF(M131="","",M131*N131),"")</f>
        <v/>
      </c>
      <c r="P131" s="75"/>
      <c r="Q131" s="75"/>
      <c r="R131" s="77" t="str">
        <f aca="false">IFERROR(IF(P131="","",P131*Q131),"")</f>
        <v/>
      </c>
      <c r="S131" s="75"/>
      <c r="T131" s="75"/>
      <c r="U131" s="77" t="str">
        <f aca="false">IFERROR(IF(S131="","",S131*T131),"")</f>
        <v/>
      </c>
      <c r="V131" s="75"/>
      <c r="W131" s="75"/>
      <c r="X131" s="77" t="str">
        <f aca="false">IFERROR(IF(V131="","",V131*W131),"")</f>
        <v/>
      </c>
      <c r="Y131" s="75"/>
      <c r="Z131" s="75"/>
      <c r="AA131" s="77" t="str">
        <f aca="false">IFERROR(IF(Y131="","",Y131*Z131),"")</f>
        <v/>
      </c>
      <c r="AB131" s="75"/>
      <c r="AC131" s="75"/>
      <c r="AD131" s="77" t="str">
        <f aca="false">IFERROR(IF(AB131="","",AB131*AC131),"")</f>
        <v/>
      </c>
      <c r="AE131" s="75"/>
      <c r="AF131" s="75"/>
      <c r="AG131" s="77" t="str">
        <f aca="false">IFERROR(IF(AE131="","",AE131*AF131),"")</f>
        <v/>
      </c>
      <c r="AH131" s="75"/>
      <c r="AI131" s="75"/>
      <c r="AJ131" s="77" t="str">
        <f aca="false">IFERROR(IF(AH131="","",AH131*AI131),"")</f>
        <v/>
      </c>
      <c r="AK131" s="75"/>
      <c r="AL131" s="75"/>
      <c r="AM131" s="77" t="str">
        <f aca="false">IFERROR(IF(AK131="","",AK131*AL131),"")</f>
        <v/>
      </c>
      <c r="AN131" s="75"/>
    </row>
    <row r="132" customFormat="false" ht="15.75" hidden="false" customHeight="true" outlineLevel="0" collapsed="false">
      <c r="A132" s="60" t="n">
        <v>125</v>
      </c>
      <c r="B132" s="72"/>
      <c r="C132" s="73"/>
      <c r="D132" s="72"/>
      <c r="E132" s="72"/>
      <c r="F132" s="74" t="str">
        <f aca="false">IFERROR(IF(D132="","",D132*E132),"")</f>
        <v/>
      </c>
      <c r="G132" s="72"/>
      <c r="H132" s="72"/>
      <c r="I132" s="74" t="str">
        <f aca="false">IFERROR(IF(G132="","",G132*H132),"")</f>
        <v/>
      </c>
      <c r="J132" s="72"/>
      <c r="K132" s="72"/>
      <c r="L132" s="74" t="str">
        <f aca="false">IFERROR(IF(J132="","",J132*K132),"")</f>
        <v/>
      </c>
      <c r="M132" s="72"/>
      <c r="N132" s="72"/>
      <c r="O132" s="74" t="str">
        <f aca="false">IFERROR(IF(M132="","",M132*N132),"")</f>
        <v/>
      </c>
      <c r="P132" s="72"/>
      <c r="Q132" s="72"/>
      <c r="R132" s="74" t="str">
        <f aca="false">IFERROR(IF(P132="","",P132*Q132),"")</f>
        <v/>
      </c>
      <c r="S132" s="72"/>
      <c r="T132" s="72"/>
      <c r="U132" s="74" t="str">
        <f aca="false">IFERROR(IF(S132="","",S132*T132),"")</f>
        <v/>
      </c>
      <c r="V132" s="72"/>
      <c r="W132" s="72"/>
      <c r="X132" s="74" t="str">
        <f aca="false">IFERROR(IF(V132="","",V132*W132),"")</f>
        <v/>
      </c>
      <c r="Y132" s="72"/>
      <c r="Z132" s="72"/>
      <c r="AA132" s="74" t="str">
        <f aca="false">IFERROR(IF(Y132="","",Y132*Z132),"")</f>
        <v/>
      </c>
      <c r="AB132" s="72"/>
      <c r="AC132" s="72"/>
      <c r="AD132" s="74" t="str">
        <f aca="false">IFERROR(IF(AB132="","",AB132*AC132),"")</f>
        <v/>
      </c>
      <c r="AE132" s="72"/>
      <c r="AF132" s="72"/>
      <c r="AG132" s="74" t="str">
        <f aca="false">IFERROR(IF(AE132="","",AE132*AF132),"")</f>
        <v/>
      </c>
      <c r="AH132" s="72"/>
      <c r="AI132" s="72"/>
      <c r="AJ132" s="74" t="str">
        <f aca="false">IFERROR(IF(AH132="","",AH132*AI132),"")</f>
        <v/>
      </c>
      <c r="AK132" s="72"/>
      <c r="AL132" s="72"/>
      <c r="AM132" s="74" t="str">
        <f aca="false">IFERROR(IF(AK132="","",AK132*AL132),"")</f>
        <v/>
      </c>
      <c r="AN132" s="72"/>
    </row>
    <row r="133" customFormat="false" ht="15.75" hidden="false" customHeight="true" outlineLevel="0" collapsed="false">
      <c r="A133" s="62" t="n">
        <v>126</v>
      </c>
      <c r="B133" s="75"/>
      <c r="C133" s="76"/>
      <c r="D133" s="75"/>
      <c r="E133" s="75"/>
      <c r="F133" s="77" t="str">
        <f aca="false">IFERROR(IF(D133="","",D133*E133),"")</f>
        <v/>
      </c>
      <c r="G133" s="75"/>
      <c r="H133" s="75"/>
      <c r="I133" s="77" t="str">
        <f aca="false">IFERROR(IF(G133="","",G133*H133),"")</f>
        <v/>
      </c>
      <c r="J133" s="75"/>
      <c r="K133" s="75"/>
      <c r="L133" s="77" t="str">
        <f aca="false">IFERROR(IF(J133="","",J133*K133),"")</f>
        <v/>
      </c>
      <c r="M133" s="75"/>
      <c r="N133" s="75"/>
      <c r="O133" s="77" t="str">
        <f aca="false">IFERROR(IF(M133="","",M133*N133),"")</f>
        <v/>
      </c>
      <c r="P133" s="75"/>
      <c r="Q133" s="75"/>
      <c r="R133" s="77" t="str">
        <f aca="false">IFERROR(IF(P133="","",P133*Q133),"")</f>
        <v/>
      </c>
      <c r="S133" s="75"/>
      <c r="T133" s="75"/>
      <c r="U133" s="77" t="str">
        <f aca="false">IFERROR(IF(S133="","",S133*T133),"")</f>
        <v/>
      </c>
      <c r="V133" s="75"/>
      <c r="W133" s="75"/>
      <c r="X133" s="77" t="str">
        <f aca="false">IFERROR(IF(V133="","",V133*W133),"")</f>
        <v/>
      </c>
      <c r="Y133" s="75"/>
      <c r="Z133" s="75"/>
      <c r="AA133" s="77" t="str">
        <f aca="false">IFERROR(IF(Y133="","",Y133*Z133),"")</f>
        <v/>
      </c>
      <c r="AB133" s="75"/>
      <c r="AC133" s="75"/>
      <c r="AD133" s="77" t="str">
        <f aca="false">IFERROR(IF(AB133="","",AB133*AC133),"")</f>
        <v/>
      </c>
      <c r="AE133" s="75"/>
      <c r="AF133" s="75"/>
      <c r="AG133" s="77" t="str">
        <f aca="false">IFERROR(IF(AE133="","",AE133*AF133),"")</f>
        <v/>
      </c>
      <c r="AH133" s="75"/>
      <c r="AI133" s="75"/>
      <c r="AJ133" s="77" t="str">
        <f aca="false">IFERROR(IF(AH133="","",AH133*AI133),"")</f>
        <v/>
      </c>
      <c r="AK133" s="75"/>
      <c r="AL133" s="75"/>
      <c r="AM133" s="77" t="str">
        <f aca="false">IFERROR(IF(AK133="","",AK133*AL133),"")</f>
        <v/>
      </c>
      <c r="AN133" s="75"/>
    </row>
    <row r="134" customFormat="false" ht="15.75" hidden="false" customHeight="true" outlineLevel="0" collapsed="false">
      <c r="A134" s="60" t="n">
        <v>127</v>
      </c>
      <c r="B134" s="72"/>
      <c r="C134" s="73"/>
      <c r="D134" s="72"/>
      <c r="E134" s="72"/>
      <c r="F134" s="74" t="str">
        <f aca="false">IFERROR(IF(D134="","",D134*E134),"")</f>
        <v/>
      </c>
      <c r="G134" s="72"/>
      <c r="H134" s="72"/>
      <c r="I134" s="74" t="str">
        <f aca="false">IFERROR(IF(G134="","",G134*H134),"")</f>
        <v/>
      </c>
      <c r="J134" s="72"/>
      <c r="K134" s="72"/>
      <c r="L134" s="74" t="str">
        <f aca="false">IFERROR(IF(J134="","",J134*K134),"")</f>
        <v/>
      </c>
      <c r="M134" s="72"/>
      <c r="N134" s="72"/>
      <c r="O134" s="74" t="str">
        <f aca="false">IFERROR(IF(M134="","",M134*N134),"")</f>
        <v/>
      </c>
      <c r="P134" s="72"/>
      <c r="Q134" s="72"/>
      <c r="R134" s="74" t="str">
        <f aca="false">IFERROR(IF(P134="","",P134*Q134),"")</f>
        <v/>
      </c>
      <c r="S134" s="72"/>
      <c r="T134" s="72"/>
      <c r="U134" s="74" t="str">
        <f aca="false">IFERROR(IF(S134="","",S134*T134),"")</f>
        <v/>
      </c>
      <c r="V134" s="72"/>
      <c r="W134" s="72"/>
      <c r="X134" s="74" t="str">
        <f aca="false">IFERROR(IF(V134="","",V134*W134),"")</f>
        <v/>
      </c>
      <c r="Y134" s="72"/>
      <c r="Z134" s="72"/>
      <c r="AA134" s="74" t="str">
        <f aca="false">IFERROR(IF(Y134="","",Y134*Z134),"")</f>
        <v/>
      </c>
      <c r="AB134" s="72"/>
      <c r="AC134" s="72"/>
      <c r="AD134" s="74" t="str">
        <f aca="false">IFERROR(IF(AB134="","",AB134*AC134),"")</f>
        <v/>
      </c>
      <c r="AE134" s="72"/>
      <c r="AF134" s="72"/>
      <c r="AG134" s="74" t="str">
        <f aca="false">IFERROR(IF(AE134="","",AE134*AF134),"")</f>
        <v/>
      </c>
      <c r="AH134" s="72"/>
      <c r="AI134" s="72"/>
      <c r="AJ134" s="74" t="str">
        <f aca="false">IFERROR(IF(AH134="","",AH134*AI134),"")</f>
        <v/>
      </c>
      <c r="AK134" s="72"/>
      <c r="AL134" s="72"/>
      <c r="AM134" s="74" t="str">
        <f aca="false">IFERROR(IF(AK134="","",AK134*AL134),"")</f>
        <v/>
      </c>
      <c r="AN134" s="72"/>
    </row>
    <row r="135" customFormat="false" ht="15.75" hidden="false" customHeight="true" outlineLevel="0" collapsed="false">
      <c r="A135" s="62" t="n">
        <v>128</v>
      </c>
      <c r="B135" s="75"/>
      <c r="C135" s="76"/>
      <c r="D135" s="75"/>
      <c r="E135" s="75"/>
      <c r="F135" s="77" t="str">
        <f aca="false">IFERROR(IF(D135="","",D135*E135),"")</f>
        <v/>
      </c>
      <c r="G135" s="75"/>
      <c r="H135" s="75"/>
      <c r="I135" s="77" t="str">
        <f aca="false">IFERROR(IF(G135="","",G135*H135),"")</f>
        <v/>
      </c>
      <c r="J135" s="75"/>
      <c r="K135" s="75"/>
      <c r="L135" s="77" t="str">
        <f aca="false">IFERROR(IF(J135="","",J135*K135),"")</f>
        <v/>
      </c>
      <c r="M135" s="75"/>
      <c r="N135" s="75"/>
      <c r="O135" s="77" t="str">
        <f aca="false">IFERROR(IF(M135="","",M135*N135),"")</f>
        <v/>
      </c>
      <c r="P135" s="75"/>
      <c r="Q135" s="75"/>
      <c r="R135" s="77" t="str">
        <f aca="false">IFERROR(IF(P135="","",P135*Q135),"")</f>
        <v/>
      </c>
      <c r="S135" s="75"/>
      <c r="T135" s="75"/>
      <c r="U135" s="77" t="str">
        <f aca="false">IFERROR(IF(S135="","",S135*T135),"")</f>
        <v/>
      </c>
      <c r="V135" s="75"/>
      <c r="W135" s="75"/>
      <c r="X135" s="77" t="str">
        <f aca="false">IFERROR(IF(V135="","",V135*W135),"")</f>
        <v/>
      </c>
      <c r="Y135" s="75"/>
      <c r="Z135" s="75"/>
      <c r="AA135" s="77" t="str">
        <f aca="false">IFERROR(IF(Y135="","",Y135*Z135),"")</f>
        <v/>
      </c>
      <c r="AB135" s="75"/>
      <c r="AC135" s="75"/>
      <c r="AD135" s="77" t="str">
        <f aca="false">IFERROR(IF(AB135="","",AB135*AC135),"")</f>
        <v/>
      </c>
      <c r="AE135" s="75"/>
      <c r="AF135" s="75"/>
      <c r="AG135" s="77" t="str">
        <f aca="false">IFERROR(IF(AE135="","",AE135*AF135),"")</f>
        <v/>
      </c>
      <c r="AH135" s="75"/>
      <c r="AI135" s="75"/>
      <c r="AJ135" s="77" t="str">
        <f aca="false">IFERROR(IF(AH135="","",AH135*AI135),"")</f>
        <v/>
      </c>
      <c r="AK135" s="75"/>
      <c r="AL135" s="75"/>
      <c r="AM135" s="77" t="str">
        <f aca="false">IFERROR(IF(AK135="","",AK135*AL135),"")</f>
        <v/>
      </c>
      <c r="AN135" s="75"/>
    </row>
    <row r="136" customFormat="false" ht="15.75" hidden="false" customHeight="true" outlineLevel="0" collapsed="false">
      <c r="A136" s="60" t="n">
        <v>129</v>
      </c>
      <c r="B136" s="72"/>
      <c r="C136" s="73"/>
      <c r="D136" s="72"/>
      <c r="E136" s="72"/>
      <c r="F136" s="74" t="str">
        <f aca="false">IFERROR(IF(D136="","",D136*E136),"")</f>
        <v/>
      </c>
      <c r="G136" s="72"/>
      <c r="H136" s="72"/>
      <c r="I136" s="74" t="str">
        <f aca="false">IFERROR(IF(G136="","",G136*H136),"")</f>
        <v/>
      </c>
      <c r="J136" s="72"/>
      <c r="K136" s="72"/>
      <c r="L136" s="74" t="str">
        <f aca="false">IFERROR(IF(J136="","",J136*K136),"")</f>
        <v/>
      </c>
      <c r="M136" s="72"/>
      <c r="N136" s="72"/>
      <c r="O136" s="74" t="str">
        <f aca="false">IFERROR(IF(M136="","",M136*N136),"")</f>
        <v/>
      </c>
      <c r="P136" s="72"/>
      <c r="Q136" s="72"/>
      <c r="R136" s="74" t="str">
        <f aca="false">IFERROR(IF(P136="","",P136*Q136),"")</f>
        <v/>
      </c>
      <c r="S136" s="72"/>
      <c r="T136" s="72"/>
      <c r="U136" s="74" t="str">
        <f aca="false">IFERROR(IF(S136="","",S136*T136),"")</f>
        <v/>
      </c>
      <c r="V136" s="72"/>
      <c r="W136" s="72"/>
      <c r="X136" s="74" t="str">
        <f aca="false">IFERROR(IF(V136="","",V136*W136),"")</f>
        <v/>
      </c>
      <c r="Y136" s="72"/>
      <c r="Z136" s="72"/>
      <c r="AA136" s="74" t="str">
        <f aca="false">IFERROR(IF(Y136="","",Y136*Z136),"")</f>
        <v/>
      </c>
      <c r="AB136" s="72"/>
      <c r="AC136" s="72"/>
      <c r="AD136" s="74" t="str">
        <f aca="false">IFERROR(IF(AB136="","",AB136*AC136),"")</f>
        <v/>
      </c>
      <c r="AE136" s="72"/>
      <c r="AF136" s="72"/>
      <c r="AG136" s="74" t="str">
        <f aca="false">IFERROR(IF(AE136="","",AE136*AF136),"")</f>
        <v/>
      </c>
      <c r="AH136" s="72"/>
      <c r="AI136" s="72"/>
      <c r="AJ136" s="74" t="str">
        <f aca="false">IFERROR(IF(AH136="","",AH136*AI136),"")</f>
        <v/>
      </c>
      <c r="AK136" s="72"/>
      <c r="AL136" s="72"/>
      <c r="AM136" s="74" t="str">
        <f aca="false">IFERROR(IF(AK136="","",AK136*AL136),"")</f>
        <v/>
      </c>
      <c r="AN136" s="72"/>
    </row>
    <row r="137" customFormat="false" ht="15.75" hidden="false" customHeight="true" outlineLevel="0" collapsed="false">
      <c r="A137" s="62" t="n">
        <v>130</v>
      </c>
      <c r="B137" s="75"/>
      <c r="C137" s="76"/>
      <c r="D137" s="75"/>
      <c r="E137" s="75"/>
      <c r="F137" s="77" t="str">
        <f aca="false">IFERROR(IF(D137="","",D137*E137),"")</f>
        <v/>
      </c>
      <c r="G137" s="75"/>
      <c r="H137" s="75"/>
      <c r="I137" s="77" t="str">
        <f aca="false">IFERROR(IF(G137="","",G137*H137),"")</f>
        <v/>
      </c>
      <c r="J137" s="75"/>
      <c r="K137" s="75"/>
      <c r="L137" s="77" t="str">
        <f aca="false">IFERROR(IF(J137="","",J137*K137),"")</f>
        <v/>
      </c>
      <c r="M137" s="75"/>
      <c r="N137" s="75"/>
      <c r="O137" s="77" t="str">
        <f aca="false">IFERROR(IF(M137="","",M137*N137),"")</f>
        <v/>
      </c>
      <c r="P137" s="75"/>
      <c r="Q137" s="75"/>
      <c r="R137" s="77" t="str">
        <f aca="false">IFERROR(IF(P137="","",P137*Q137),"")</f>
        <v/>
      </c>
      <c r="S137" s="75"/>
      <c r="T137" s="75"/>
      <c r="U137" s="77" t="str">
        <f aca="false">IFERROR(IF(S137="","",S137*T137),"")</f>
        <v/>
      </c>
      <c r="V137" s="75"/>
      <c r="W137" s="75"/>
      <c r="X137" s="77" t="str">
        <f aca="false">IFERROR(IF(V137="","",V137*W137),"")</f>
        <v/>
      </c>
      <c r="Y137" s="75"/>
      <c r="Z137" s="75"/>
      <c r="AA137" s="77" t="str">
        <f aca="false">IFERROR(IF(Y137="","",Y137*Z137),"")</f>
        <v/>
      </c>
      <c r="AB137" s="75"/>
      <c r="AC137" s="75"/>
      <c r="AD137" s="77" t="str">
        <f aca="false">IFERROR(IF(AB137="","",AB137*AC137),"")</f>
        <v/>
      </c>
      <c r="AE137" s="75"/>
      <c r="AF137" s="75"/>
      <c r="AG137" s="77" t="str">
        <f aca="false">IFERROR(IF(AE137="","",AE137*AF137),"")</f>
        <v/>
      </c>
      <c r="AH137" s="75"/>
      <c r="AI137" s="75"/>
      <c r="AJ137" s="77" t="str">
        <f aca="false">IFERROR(IF(AH137="","",AH137*AI137),"")</f>
        <v/>
      </c>
      <c r="AK137" s="75"/>
      <c r="AL137" s="75"/>
      <c r="AM137" s="77" t="str">
        <f aca="false">IFERROR(IF(AK137="","",AK137*AL137),"")</f>
        <v/>
      </c>
      <c r="AN137" s="75"/>
    </row>
    <row r="138" customFormat="false" ht="15.75" hidden="false" customHeight="true" outlineLevel="0" collapsed="false">
      <c r="A138" s="60" t="n">
        <v>131</v>
      </c>
      <c r="B138" s="72"/>
      <c r="C138" s="73"/>
      <c r="D138" s="72"/>
      <c r="E138" s="72"/>
      <c r="F138" s="74" t="str">
        <f aca="false">IFERROR(IF(D138="","",D138*E138),"")</f>
        <v/>
      </c>
      <c r="G138" s="72"/>
      <c r="H138" s="72"/>
      <c r="I138" s="74" t="str">
        <f aca="false">IFERROR(IF(G138="","",G138*H138),"")</f>
        <v/>
      </c>
      <c r="J138" s="72"/>
      <c r="K138" s="72"/>
      <c r="L138" s="74" t="str">
        <f aca="false">IFERROR(IF(J138="","",J138*K138),"")</f>
        <v/>
      </c>
      <c r="M138" s="72"/>
      <c r="N138" s="72"/>
      <c r="O138" s="74" t="str">
        <f aca="false">IFERROR(IF(M138="","",M138*N138),"")</f>
        <v/>
      </c>
      <c r="P138" s="72"/>
      <c r="Q138" s="72"/>
      <c r="R138" s="74" t="str">
        <f aca="false">IFERROR(IF(P138="","",P138*Q138),"")</f>
        <v/>
      </c>
      <c r="S138" s="72"/>
      <c r="T138" s="72"/>
      <c r="U138" s="74" t="str">
        <f aca="false">IFERROR(IF(S138="","",S138*T138),"")</f>
        <v/>
      </c>
      <c r="V138" s="72"/>
      <c r="W138" s="72"/>
      <c r="X138" s="74" t="str">
        <f aca="false">IFERROR(IF(V138="","",V138*W138),"")</f>
        <v/>
      </c>
      <c r="Y138" s="72"/>
      <c r="Z138" s="72"/>
      <c r="AA138" s="74" t="str">
        <f aca="false">IFERROR(IF(Y138="","",Y138*Z138),"")</f>
        <v/>
      </c>
      <c r="AB138" s="72"/>
      <c r="AC138" s="72"/>
      <c r="AD138" s="74" t="str">
        <f aca="false">IFERROR(IF(AB138="","",AB138*AC138),"")</f>
        <v/>
      </c>
      <c r="AE138" s="72"/>
      <c r="AF138" s="72"/>
      <c r="AG138" s="74" t="str">
        <f aca="false">IFERROR(IF(AE138="","",AE138*AF138),"")</f>
        <v/>
      </c>
      <c r="AH138" s="72"/>
      <c r="AI138" s="72"/>
      <c r="AJ138" s="74" t="str">
        <f aca="false">IFERROR(IF(AH138="","",AH138*AI138),"")</f>
        <v/>
      </c>
      <c r="AK138" s="72"/>
      <c r="AL138" s="72"/>
      <c r="AM138" s="74" t="str">
        <f aca="false">IFERROR(IF(AK138="","",AK138*AL138),"")</f>
        <v/>
      </c>
      <c r="AN138" s="72"/>
    </row>
    <row r="139" customFormat="false" ht="15.75" hidden="false" customHeight="true" outlineLevel="0" collapsed="false">
      <c r="A139" s="62" t="n">
        <v>132</v>
      </c>
      <c r="B139" s="75"/>
      <c r="C139" s="76"/>
      <c r="D139" s="75"/>
      <c r="E139" s="75"/>
      <c r="F139" s="77" t="str">
        <f aca="false">IFERROR(IF(D139="","",D139*E139),"")</f>
        <v/>
      </c>
      <c r="G139" s="75"/>
      <c r="H139" s="75"/>
      <c r="I139" s="77" t="str">
        <f aca="false">IFERROR(IF(G139="","",G139*H139),"")</f>
        <v/>
      </c>
      <c r="J139" s="75"/>
      <c r="K139" s="75"/>
      <c r="L139" s="77" t="str">
        <f aca="false">IFERROR(IF(J139="","",J139*K139),"")</f>
        <v/>
      </c>
      <c r="M139" s="75"/>
      <c r="N139" s="75"/>
      <c r="O139" s="77" t="str">
        <f aca="false">IFERROR(IF(M139="","",M139*N139),"")</f>
        <v/>
      </c>
      <c r="P139" s="75"/>
      <c r="Q139" s="75"/>
      <c r="R139" s="77" t="str">
        <f aca="false">IFERROR(IF(P139="","",P139*Q139),"")</f>
        <v/>
      </c>
      <c r="S139" s="75"/>
      <c r="T139" s="75"/>
      <c r="U139" s="77" t="str">
        <f aca="false">IFERROR(IF(S139="","",S139*T139),"")</f>
        <v/>
      </c>
      <c r="V139" s="75"/>
      <c r="W139" s="75"/>
      <c r="X139" s="77" t="str">
        <f aca="false">IFERROR(IF(V139="","",V139*W139),"")</f>
        <v/>
      </c>
      <c r="Y139" s="75"/>
      <c r="Z139" s="75"/>
      <c r="AA139" s="77" t="str">
        <f aca="false">IFERROR(IF(Y139="","",Y139*Z139),"")</f>
        <v/>
      </c>
      <c r="AB139" s="75"/>
      <c r="AC139" s="75"/>
      <c r="AD139" s="77" t="str">
        <f aca="false">IFERROR(IF(AB139="","",AB139*AC139),"")</f>
        <v/>
      </c>
      <c r="AE139" s="75"/>
      <c r="AF139" s="75"/>
      <c r="AG139" s="77" t="str">
        <f aca="false">IFERROR(IF(AE139="","",AE139*AF139),"")</f>
        <v/>
      </c>
      <c r="AH139" s="75"/>
      <c r="AI139" s="75"/>
      <c r="AJ139" s="77" t="str">
        <f aca="false">IFERROR(IF(AH139="","",AH139*AI139),"")</f>
        <v/>
      </c>
      <c r="AK139" s="75"/>
      <c r="AL139" s="75"/>
      <c r="AM139" s="77" t="str">
        <f aca="false">IFERROR(IF(AK139="","",AK139*AL139),"")</f>
        <v/>
      </c>
      <c r="AN139" s="75"/>
    </row>
    <row r="140" customFormat="false" ht="15.75" hidden="false" customHeight="true" outlineLevel="0" collapsed="false">
      <c r="A140" s="60" t="n">
        <v>133</v>
      </c>
      <c r="B140" s="72"/>
      <c r="C140" s="73"/>
      <c r="D140" s="72"/>
      <c r="E140" s="72"/>
      <c r="F140" s="74" t="str">
        <f aca="false">IFERROR(IF(D140="","",D140*E140),"")</f>
        <v/>
      </c>
      <c r="G140" s="72"/>
      <c r="H140" s="72"/>
      <c r="I140" s="74" t="str">
        <f aca="false">IFERROR(IF(G140="","",G140*H140),"")</f>
        <v/>
      </c>
      <c r="J140" s="72"/>
      <c r="K140" s="72"/>
      <c r="L140" s="74" t="str">
        <f aca="false">IFERROR(IF(J140="","",J140*K140),"")</f>
        <v/>
      </c>
      <c r="M140" s="72"/>
      <c r="N140" s="72"/>
      <c r="O140" s="74" t="str">
        <f aca="false">IFERROR(IF(M140="","",M140*N140),"")</f>
        <v/>
      </c>
      <c r="P140" s="72"/>
      <c r="Q140" s="72"/>
      <c r="R140" s="74" t="str">
        <f aca="false">IFERROR(IF(P140="","",P140*Q140),"")</f>
        <v/>
      </c>
      <c r="S140" s="72"/>
      <c r="T140" s="72"/>
      <c r="U140" s="74" t="str">
        <f aca="false">IFERROR(IF(S140="","",S140*T140),"")</f>
        <v/>
      </c>
      <c r="V140" s="72"/>
      <c r="W140" s="72"/>
      <c r="X140" s="74" t="str">
        <f aca="false">IFERROR(IF(V140="","",V140*W140),"")</f>
        <v/>
      </c>
      <c r="Y140" s="72"/>
      <c r="Z140" s="72"/>
      <c r="AA140" s="74" t="str">
        <f aca="false">IFERROR(IF(Y140="","",Y140*Z140),"")</f>
        <v/>
      </c>
      <c r="AB140" s="72"/>
      <c r="AC140" s="72"/>
      <c r="AD140" s="74" t="str">
        <f aca="false">IFERROR(IF(AB140="","",AB140*AC140),"")</f>
        <v/>
      </c>
      <c r="AE140" s="72"/>
      <c r="AF140" s="72"/>
      <c r="AG140" s="74" t="str">
        <f aca="false">IFERROR(IF(AE140="","",AE140*AF140),"")</f>
        <v/>
      </c>
      <c r="AH140" s="72"/>
      <c r="AI140" s="72"/>
      <c r="AJ140" s="74" t="str">
        <f aca="false">IFERROR(IF(AH140="","",AH140*AI140),"")</f>
        <v/>
      </c>
      <c r="AK140" s="72"/>
      <c r="AL140" s="72"/>
      <c r="AM140" s="74" t="str">
        <f aca="false">IFERROR(IF(AK140="","",AK140*AL140),"")</f>
        <v/>
      </c>
      <c r="AN140" s="72"/>
    </row>
    <row r="141" customFormat="false" ht="15.75" hidden="false" customHeight="true" outlineLevel="0" collapsed="false">
      <c r="A141" s="62" t="n">
        <v>134</v>
      </c>
      <c r="B141" s="75"/>
      <c r="C141" s="76"/>
      <c r="D141" s="75"/>
      <c r="E141" s="75"/>
      <c r="F141" s="77" t="str">
        <f aca="false">IFERROR(IF(D141="","",D141*E141),"")</f>
        <v/>
      </c>
      <c r="G141" s="75"/>
      <c r="H141" s="75"/>
      <c r="I141" s="77" t="str">
        <f aca="false">IFERROR(IF(G141="","",G141*H141),"")</f>
        <v/>
      </c>
      <c r="J141" s="75"/>
      <c r="K141" s="75"/>
      <c r="L141" s="77" t="str">
        <f aca="false">IFERROR(IF(J141="","",J141*K141),"")</f>
        <v/>
      </c>
      <c r="M141" s="75"/>
      <c r="N141" s="75"/>
      <c r="O141" s="77" t="str">
        <f aca="false">IFERROR(IF(M141="","",M141*N141),"")</f>
        <v/>
      </c>
      <c r="P141" s="75"/>
      <c r="Q141" s="75"/>
      <c r="R141" s="77" t="str">
        <f aca="false">IFERROR(IF(P141="","",P141*Q141),"")</f>
        <v/>
      </c>
      <c r="S141" s="75"/>
      <c r="T141" s="75"/>
      <c r="U141" s="77" t="str">
        <f aca="false">IFERROR(IF(S141="","",S141*T141),"")</f>
        <v/>
      </c>
      <c r="V141" s="75"/>
      <c r="W141" s="75"/>
      <c r="X141" s="77" t="str">
        <f aca="false">IFERROR(IF(V141="","",V141*W141),"")</f>
        <v/>
      </c>
      <c r="Y141" s="75"/>
      <c r="Z141" s="75"/>
      <c r="AA141" s="77" t="str">
        <f aca="false">IFERROR(IF(Y141="","",Y141*Z141),"")</f>
        <v/>
      </c>
      <c r="AB141" s="75"/>
      <c r="AC141" s="75"/>
      <c r="AD141" s="77" t="str">
        <f aca="false">IFERROR(IF(AB141="","",AB141*AC141),"")</f>
        <v/>
      </c>
      <c r="AE141" s="75"/>
      <c r="AF141" s="75"/>
      <c r="AG141" s="77" t="str">
        <f aca="false">IFERROR(IF(AE141="","",AE141*AF141),"")</f>
        <v/>
      </c>
      <c r="AH141" s="75"/>
      <c r="AI141" s="75"/>
      <c r="AJ141" s="77" t="str">
        <f aca="false">IFERROR(IF(AH141="","",AH141*AI141),"")</f>
        <v/>
      </c>
      <c r="AK141" s="75"/>
      <c r="AL141" s="75"/>
      <c r="AM141" s="77" t="str">
        <f aca="false">IFERROR(IF(AK141="","",AK141*AL141),"")</f>
        <v/>
      </c>
      <c r="AN141" s="75"/>
    </row>
    <row r="142" customFormat="false" ht="15.75" hidden="false" customHeight="true" outlineLevel="0" collapsed="false">
      <c r="A142" s="60" t="n">
        <v>135</v>
      </c>
      <c r="B142" s="72"/>
      <c r="C142" s="73"/>
      <c r="D142" s="72"/>
      <c r="E142" s="72"/>
      <c r="F142" s="74" t="str">
        <f aca="false">IFERROR(IF(D142="","",D142*E142),"")</f>
        <v/>
      </c>
      <c r="G142" s="72"/>
      <c r="H142" s="72"/>
      <c r="I142" s="74" t="str">
        <f aca="false">IFERROR(IF(G142="","",G142*H142),"")</f>
        <v/>
      </c>
      <c r="J142" s="72"/>
      <c r="K142" s="72"/>
      <c r="L142" s="74" t="str">
        <f aca="false">IFERROR(IF(J142="","",J142*K142),"")</f>
        <v/>
      </c>
      <c r="M142" s="72"/>
      <c r="N142" s="72"/>
      <c r="O142" s="74" t="str">
        <f aca="false">IFERROR(IF(M142="","",M142*N142),"")</f>
        <v/>
      </c>
      <c r="P142" s="72"/>
      <c r="Q142" s="72"/>
      <c r="R142" s="74" t="str">
        <f aca="false">IFERROR(IF(P142="","",P142*Q142),"")</f>
        <v/>
      </c>
      <c r="S142" s="72"/>
      <c r="T142" s="72"/>
      <c r="U142" s="74" t="str">
        <f aca="false">IFERROR(IF(S142="","",S142*T142),"")</f>
        <v/>
      </c>
      <c r="V142" s="72"/>
      <c r="W142" s="72"/>
      <c r="X142" s="74" t="str">
        <f aca="false">IFERROR(IF(V142="","",V142*W142),"")</f>
        <v/>
      </c>
      <c r="Y142" s="72"/>
      <c r="Z142" s="72"/>
      <c r="AA142" s="74" t="str">
        <f aca="false">IFERROR(IF(Y142="","",Y142*Z142),"")</f>
        <v/>
      </c>
      <c r="AB142" s="72"/>
      <c r="AC142" s="72"/>
      <c r="AD142" s="74" t="str">
        <f aca="false">IFERROR(IF(AB142="","",AB142*AC142),"")</f>
        <v/>
      </c>
      <c r="AE142" s="72"/>
      <c r="AF142" s="72"/>
      <c r="AG142" s="74" t="str">
        <f aca="false">IFERROR(IF(AE142="","",AE142*AF142),"")</f>
        <v/>
      </c>
      <c r="AH142" s="72"/>
      <c r="AI142" s="72"/>
      <c r="AJ142" s="74" t="str">
        <f aca="false">IFERROR(IF(AH142="","",AH142*AI142),"")</f>
        <v/>
      </c>
      <c r="AK142" s="72"/>
      <c r="AL142" s="72"/>
      <c r="AM142" s="74" t="str">
        <f aca="false">IFERROR(IF(AK142="","",AK142*AL142),"")</f>
        <v/>
      </c>
      <c r="AN142" s="72"/>
    </row>
    <row r="143" customFormat="false" ht="15.75" hidden="false" customHeight="true" outlineLevel="0" collapsed="false">
      <c r="A143" s="62" t="n">
        <v>136</v>
      </c>
      <c r="B143" s="75"/>
      <c r="C143" s="76"/>
      <c r="D143" s="75"/>
      <c r="E143" s="75"/>
      <c r="F143" s="77" t="str">
        <f aca="false">IFERROR(IF(D143="","",D143*E143),"")</f>
        <v/>
      </c>
      <c r="G143" s="75"/>
      <c r="H143" s="75"/>
      <c r="I143" s="77" t="str">
        <f aca="false">IFERROR(IF(G143="","",G143*H143),"")</f>
        <v/>
      </c>
      <c r="J143" s="75"/>
      <c r="K143" s="75"/>
      <c r="L143" s="77" t="str">
        <f aca="false">IFERROR(IF(J143="","",J143*K143),"")</f>
        <v/>
      </c>
      <c r="M143" s="75"/>
      <c r="N143" s="75"/>
      <c r="O143" s="77" t="str">
        <f aca="false">IFERROR(IF(M143="","",M143*N143),"")</f>
        <v/>
      </c>
      <c r="P143" s="75"/>
      <c r="Q143" s="75"/>
      <c r="R143" s="77" t="str">
        <f aca="false">IFERROR(IF(P143="","",P143*Q143),"")</f>
        <v/>
      </c>
      <c r="S143" s="75"/>
      <c r="T143" s="75"/>
      <c r="U143" s="77" t="str">
        <f aca="false">IFERROR(IF(S143="","",S143*T143),"")</f>
        <v/>
      </c>
      <c r="V143" s="75"/>
      <c r="W143" s="75"/>
      <c r="X143" s="77" t="str">
        <f aca="false">IFERROR(IF(V143="","",V143*W143),"")</f>
        <v/>
      </c>
      <c r="Y143" s="75"/>
      <c r="Z143" s="75"/>
      <c r="AA143" s="77" t="str">
        <f aca="false">IFERROR(IF(Y143="","",Y143*Z143),"")</f>
        <v/>
      </c>
      <c r="AB143" s="75"/>
      <c r="AC143" s="75"/>
      <c r="AD143" s="77" t="str">
        <f aca="false">IFERROR(IF(AB143="","",AB143*AC143),"")</f>
        <v/>
      </c>
      <c r="AE143" s="75"/>
      <c r="AF143" s="75"/>
      <c r="AG143" s="77" t="str">
        <f aca="false">IFERROR(IF(AE143="","",AE143*AF143),"")</f>
        <v/>
      </c>
      <c r="AH143" s="75"/>
      <c r="AI143" s="75"/>
      <c r="AJ143" s="77" t="str">
        <f aca="false">IFERROR(IF(AH143="","",AH143*AI143),"")</f>
        <v/>
      </c>
      <c r="AK143" s="75"/>
      <c r="AL143" s="75"/>
      <c r="AM143" s="77" t="str">
        <f aca="false">IFERROR(IF(AK143="","",AK143*AL143),"")</f>
        <v/>
      </c>
      <c r="AN143" s="75"/>
    </row>
    <row r="144" customFormat="false" ht="15.75" hidden="false" customHeight="true" outlineLevel="0" collapsed="false">
      <c r="A144" s="60" t="n">
        <v>137</v>
      </c>
      <c r="B144" s="72"/>
      <c r="C144" s="73"/>
      <c r="D144" s="72"/>
      <c r="E144" s="72"/>
      <c r="F144" s="74" t="str">
        <f aca="false">IFERROR(IF(D144="","",D144*E144),"")</f>
        <v/>
      </c>
      <c r="G144" s="72"/>
      <c r="H144" s="72"/>
      <c r="I144" s="74" t="str">
        <f aca="false">IFERROR(IF(G144="","",G144*H144),"")</f>
        <v/>
      </c>
      <c r="J144" s="72"/>
      <c r="K144" s="72"/>
      <c r="L144" s="74" t="str">
        <f aca="false">IFERROR(IF(J144="","",J144*K144),"")</f>
        <v/>
      </c>
      <c r="M144" s="72"/>
      <c r="N144" s="72"/>
      <c r="O144" s="74" t="str">
        <f aca="false">IFERROR(IF(M144="","",M144*N144),"")</f>
        <v/>
      </c>
      <c r="P144" s="72"/>
      <c r="Q144" s="72"/>
      <c r="R144" s="74" t="str">
        <f aca="false">IFERROR(IF(P144="","",P144*Q144),"")</f>
        <v/>
      </c>
      <c r="S144" s="72"/>
      <c r="T144" s="72"/>
      <c r="U144" s="74" t="str">
        <f aca="false">IFERROR(IF(S144="","",S144*T144),"")</f>
        <v/>
      </c>
      <c r="V144" s="72"/>
      <c r="W144" s="72"/>
      <c r="X144" s="74" t="str">
        <f aca="false">IFERROR(IF(V144="","",V144*W144),"")</f>
        <v/>
      </c>
      <c r="Y144" s="72"/>
      <c r="Z144" s="72"/>
      <c r="AA144" s="74" t="str">
        <f aca="false">IFERROR(IF(Y144="","",Y144*Z144),"")</f>
        <v/>
      </c>
      <c r="AB144" s="72"/>
      <c r="AC144" s="72"/>
      <c r="AD144" s="74" t="str">
        <f aca="false">IFERROR(IF(AB144="","",AB144*AC144),"")</f>
        <v/>
      </c>
      <c r="AE144" s="72"/>
      <c r="AF144" s="72"/>
      <c r="AG144" s="74" t="str">
        <f aca="false">IFERROR(IF(AE144="","",AE144*AF144),"")</f>
        <v/>
      </c>
      <c r="AH144" s="72"/>
      <c r="AI144" s="72"/>
      <c r="AJ144" s="74" t="str">
        <f aca="false">IFERROR(IF(AH144="","",AH144*AI144),"")</f>
        <v/>
      </c>
      <c r="AK144" s="72"/>
      <c r="AL144" s="72"/>
      <c r="AM144" s="74" t="str">
        <f aca="false">IFERROR(IF(AK144="","",AK144*AL144),"")</f>
        <v/>
      </c>
      <c r="AN144" s="72"/>
    </row>
    <row r="145" customFormat="false" ht="15.75" hidden="false" customHeight="true" outlineLevel="0" collapsed="false">
      <c r="A145" s="62" t="n">
        <v>138</v>
      </c>
      <c r="B145" s="75"/>
      <c r="C145" s="76"/>
      <c r="D145" s="75"/>
      <c r="E145" s="75"/>
      <c r="F145" s="77" t="str">
        <f aca="false">IFERROR(IF(D145="","",D145*E145),"")</f>
        <v/>
      </c>
      <c r="G145" s="75"/>
      <c r="H145" s="75"/>
      <c r="I145" s="77" t="str">
        <f aca="false">IFERROR(IF(G145="","",G145*H145),"")</f>
        <v/>
      </c>
      <c r="J145" s="75"/>
      <c r="K145" s="75"/>
      <c r="L145" s="77" t="str">
        <f aca="false">IFERROR(IF(J145="","",J145*K145),"")</f>
        <v/>
      </c>
      <c r="M145" s="75"/>
      <c r="N145" s="75"/>
      <c r="O145" s="77" t="str">
        <f aca="false">IFERROR(IF(M145="","",M145*N145),"")</f>
        <v/>
      </c>
      <c r="P145" s="75"/>
      <c r="Q145" s="75"/>
      <c r="R145" s="77" t="str">
        <f aca="false">IFERROR(IF(P145="","",P145*Q145),"")</f>
        <v/>
      </c>
      <c r="S145" s="75"/>
      <c r="T145" s="75"/>
      <c r="U145" s="77" t="str">
        <f aca="false">IFERROR(IF(S145="","",S145*T145),"")</f>
        <v/>
      </c>
      <c r="V145" s="75"/>
      <c r="W145" s="75"/>
      <c r="X145" s="77" t="str">
        <f aca="false">IFERROR(IF(V145="","",V145*W145),"")</f>
        <v/>
      </c>
      <c r="Y145" s="75"/>
      <c r="Z145" s="75"/>
      <c r="AA145" s="77" t="str">
        <f aca="false">IFERROR(IF(Y145="","",Y145*Z145),"")</f>
        <v/>
      </c>
      <c r="AB145" s="75"/>
      <c r="AC145" s="75"/>
      <c r="AD145" s="77" t="str">
        <f aca="false">IFERROR(IF(AB145="","",AB145*AC145),"")</f>
        <v/>
      </c>
      <c r="AE145" s="75"/>
      <c r="AF145" s="75"/>
      <c r="AG145" s="77" t="str">
        <f aca="false">IFERROR(IF(AE145="","",AE145*AF145),"")</f>
        <v/>
      </c>
      <c r="AH145" s="75"/>
      <c r="AI145" s="75"/>
      <c r="AJ145" s="77" t="str">
        <f aca="false">IFERROR(IF(AH145="","",AH145*AI145),"")</f>
        <v/>
      </c>
      <c r="AK145" s="75"/>
      <c r="AL145" s="75"/>
      <c r="AM145" s="77" t="str">
        <f aca="false">IFERROR(IF(AK145="","",AK145*AL145),"")</f>
        <v/>
      </c>
      <c r="AN145" s="75"/>
    </row>
    <row r="146" customFormat="false" ht="15.75" hidden="false" customHeight="true" outlineLevel="0" collapsed="false">
      <c r="A146" s="60" t="n">
        <v>139</v>
      </c>
      <c r="B146" s="72"/>
      <c r="C146" s="73"/>
      <c r="D146" s="72"/>
      <c r="E146" s="72"/>
      <c r="F146" s="74" t="str">
        <f aca="false">IFERROR(IF(D146="","",D146*E146),"")</f>
        <v/>
      </c>
      <c r="G146" s="72"/>
      <c r="H146" s="72"/>
      <c r="I146" s="74" t="str">
        <f aca="false">IFERROR(IF(G146="","",G146*H146),"")</f>
        <v/>
      </c>
      <c r="J146" s="72"/>
      <c r="K146" s="72"/>
      <c r="L146" s="74" t="str">
        <f aca="false">IFERROR(IF(J146="","",J146*K146),"")</f>
        <v/>
      </c>
      <c r="M146" s="72"/>
      <c r="N146" s="72"/>
      <c r="O146" s="74" t="str">
        <f aca="false">IFERROR(IF(M146="","",M146*N146),"")</f>
        <v/>
      </c>
      <c r="P146" s="72"/>
      <c r="Q146" s="72"/>
      <c r="R146" s="74" t="str">
        <f aca="false">IFERROR(IF(P146="","",P146*Q146),"")</f>
        <v/>
      </c>
      <c r="S146" s="72"/>
      <c r="T146" s="72"/>
      <c r="U146" s="74" t="str">
        <f aca="false">IFERROR(IF(S146="","",S146*T146),"")</f>
        <v/>
      </c>
      <c r="V146" s="72"/>
      <c r="W146" s="72"/>
      <c r="X146" s="74" t="str">
        <f aca="false">IFERROR(IF(V146="","",V146*W146),"")</f>
        <v/>
      </c>
      <c r="Y146" s="72"/>
      <c r="Z146" s="72"/>
      <c r="AA146" s="74" t="str">
        <f aca="false">IFERROR(IF(Y146="","",Y146*Z146),"")</f>
        <v/>
      </c>
      <c r="AB146" s="72"/>
      <c r="AC146" s="72"/>
      <c r="AD146" s="74" t="str">
        <f aca="false">IFERROR(IF(AB146="","",AB146*AC146),"")</f>
        <v/>
      </c>
      <c r="AE146" s="72"/>
      <c r="AF146" s="72"/>
      <c r="AG146" s="74" t="str">
        <f aca="false">IFERROR(IF(AE146="","",AE146*AF146),"")</f>
        <v/>
      </c>
      <c r="AH146" s="72"/>
      <c r="AI146" s="72"/>
      <c r="AJ146" s="74" t="str">
        <f aca="false">IFERROR(IF(AH146="","",AH146*AI146),"")</f>
        <v/>
      </c>
      <c r="AK146" s="72"/>
      <c r="AL146" s="72"/>
      <c r="AM146" s="74" t="str">
        <f aca="false">IFERROR(IF(AK146="","",AK146*AL146),"")</f>
        <v/>
      </c>
      <c r="AN146" s="72"/>
    </row>
    <row r="147" customFormat="false" ht="15.75" hidden="false" customHeight="true" outlineLevel="0" collapsed="false">
      <c r="A147" s="62" t="n">
        <v>140</v>
      </c>
      <c r="B147" s="75"/>
      <c r="C147" s="76"/>
      <c r="D147" s="75"/>
      <c r="E147" s="75"/>
      <c r="F147" s="77" t="str">
        <f aca="false">IFERROR(IF(D147="","",D147*E147),"")</f>
        <v/>
      </c>
      <c r="G147" s="75"/>
      <c r="H147" s="75"/>
      <c r="I147" s="77" t="str">
        <f aca="false">IFERROR(IF(G147="","",G147*H147),"")</f>
        <v/>
      </c>
      <c r="J147" s="75"/>
      <c r="K147" s="75"/>
      <c r="L147" s="77" t="str">
        <f aca="false">IFERROR(IF(J147="","",J147*K147),"")</f>
        <v/>
      </c>
      <c r="M147" s="75"/>
      <c r="N147" s="75"/>
      <c r="O147" s="77" t="str">
        <f aca="false">IFERROR(IF(M147="","",M147*N147),"")</f>
        <v/>
      </c>
      <c r="P147" s="75"/>
      <c r="Q147" s="75"/>
      <c r="R147" s="77" t="str">
        <f aca="false">IFERROR(IF(P147="","",P147*Q147),"")</f>
        <v/>
      </c>
      <c r="S147" s="75"/>
      <c r="T147" s="75"/>
      <c r="U147" s="77" t="str">
        <f aca="false">IFERROR(IF(S147="","",S147*T147),"")</f>
        <v/>
      </c>
      <c r="V147" s="75"/>
      <c r="W147" s="75"/>
      <c r="X147" s="77" t="str">
        <f aca="false">IFERROR(IF(V147="","",V147*W147),"")</f>
        <v/>
      </c>
      <c r="Y147" s="75"/>
      <c r="Z147" s="75"/>
      <c r="AA147" s="77" t="str">
        <f aca="false">IFERROR(IF(Y147="","",Y147*Z147),"")</f>
        <v/>
      </c>
      <c r="AB147" s="75"/>
      <c r="AC147" s="75"/>
      <c r="AD147" s="77" t="str">
        <f aca="false">IFERROR(IF(AB147="","",AB147*AC147),"")</f>
        <v/>
      </c>
      <c r="AE147" s="75"/>
      <c r="AF147" s="75"/>
      <c r="AG147" s="77" t="str">
        <f aca="false">IFERROR(IF(AE147="","",AE147*AF147),"")</f>
        <v/>
      </c>
      <c r="AH147" s="75"/>
      <c r="AI147" s="75"/>
      <c r="AJ147" s="77" t="str">
        <f aca="false">IFERROR(IF(AH147="","",AH147*AI147),"")</f>
        <v/>
      </c>
      <c r="AK147" s="75"/>
      <c r="AL147" s="75"/>
      <c r="AM147" s="77" t="str">
        <f aca="false">IFERROR(IF(AK147="","",AK147*AL147),"")</f>
        <v/>
      </c>
      <c r="AN147" s="75"/>
    </row>
    <row r="148" customFormat="false" ht="15.75" hidden="false" customHeight="true" outlineLevel="0" collapsed="false">
      <c r="A148" s="60" t="n">
        <v>141</v>
      </c>
      <c r="B148" s="72"/>
      <c r="C148" s="73"/>
      <c r="D148" s="72"/>
      <c r="E148" s="72"/>
      <c r="F148" s="74" t="str">
        <f aca="false">IFERROR(IF(D148="","",D148*E148),"")</f>
        <v/>
      </c>
      <c r="G148" s="72"/>
      <c r="H148" s="72"/>
      <c r="I148" s="74" t="str">
        <f aca="false">IFERROR(IF(G148="","",G148*H148),"")</f>
        <v/>
      </c>
      <c r="J148" s="72"/>
      <c r="K148" s="72"/>
      <c r="L148" s="74" t="str">
        <f aca="false">IFERROR(IF(J148="","",J148*K148),"")</f>
        <v/>
      </c>
      <c r="M148" s="72"/>
      <c r="N148" s="72"/>
      <c r="O148" s="74" t="str">
        <f aca="false">IFERROR(IF(M148="","",M148*N148),"")</f>
        <v/>
      </c>
      <c r="P148" s="72"/>
      <c r="Q148" s="72"/>
      <c r="R148" s="74" t="str">
        <f aca="false">IFERROR(IF(P148="","",P148*Q148),"")</f>
        <v/>
      </c>
      <c r="S148" s="72"/>
      <c r="T148" s="72"/>
      <c r="U148" s="74" t="str">
        <f aca="false">IFERROR(IF(S148="","",S148*T148),"")</f>
        <v/>
      </c>
      <c r="V148" s="72"/>
      <c r="W148" s="72"/>
      <c r="X148" s="74" t="str">
        <f aca="false">IFERROR(IF(V148="","",V148*W148),"")</f>
        <v/>
      </c>
      <c r="Y148" s="72"/>
      <c r="Z148" s="72"/>
      <c r="AA148" s="74" t="str">
        <f aca="false">IFERROR(IF(Y148="","",Y148*Z148),"")</f>
        <v/>
      </c>
      <c r="AB148" s="72"/>
      <c r="AC148" s="72"/>
      <c r="AD148" s="74" t="str">
        <f aca="false">IFERROR(IF(AB148="","",AB148*AC148),"")</f>
        <v/>
      </c>
      <c r="AE148" s="72"/>
      <c r="AF148" s="72"/>
      <c r="AG148" s="74" t="str">
        <f aca="false">IFERROR(IF(AE148="","",AE148*AF148),"")</f>
        <v/>
      </c>
      <c r="AH148" s="72"/>
      <c r="AI148" s="72"/>
      <c r="AJ148" s="74" t="str">
        <f aca="false">IFERROR(IF(AH148="","",AH148*AI148),"")</f>
        <v/>
      </c>
      <c r="AK148" s="72"/>
      <c r="AL148" s="72"/>
      <c r="AM148" s="74" t="str">
        <f aca="false">IFERROR(IF(AK148="","",AK148*AL148),"")</f>
        <v/>
      </c>
      <c r="AN148" s="72"/>
    </row>
    <row r="149" customFormat="false" ht="15.75" hidden="false" customHeight="true" outlineLevel="0" collapsed="false">
      <c r="A149" s="62" t="n">
        <v>142</v>
      </c>
      <c r="B149" s="75"/>
      <c r="C149" s="76"/>
      <c r="D149" s="75"/>
      <c r="E149" s="75"/>
      <c r="F149" s="77" t="str">
        <f aca="false">IFERROR(IF(D149="","",D149*E149),"")</f>
        <v/>
      </c>
      <c r="G149" s="75"/>
      <c r="H149" s="75"/>
      <c r="I149" s="77" t="str">
        <f aca="false">IFERROR(IF(G149="","",G149*H149),"")</f>
        <v/>
      </c>
      <c r="J149" s="75"/>
      <c r="K149" s="75"/>
      <c r="L149" s="77" t="str">
        <f aca="false">IFERROR(IF(J149="","",J149*K149),"")</f>
        <v/>
      </c>
      <c r="M149" s="75"/>
      <c r="N149" s="75"/>
      <c r="O149" s="77" t="str">
        <f aca="false">IFERROR(IF(M149="","",M149*N149),"")</f>
        <v/>
      </c>
      <c r="P149" s="75"/>
      <c r="Q149" s="75"/>
      <c r="R149" s="77" t="str">
        <f aca="false">IFERROR(IF(P149="","",P149*Q149),"")</f>
        <v/>
      </c>
      <c r="S149" s="75"/>
      <c r="T149" s="75"/>
      <c r="U149" s="77" t="str">
        <f aca="false">IFERROR(IF(S149="","",S149*T149),"")</f>
        <v/>
      </c>
      <c r="V149" s="75"/>
      <c r="W149" s="75"/>
      <c r="X149" s="77" t="str">
        <f aca="false">IFERROR(IF(V149="","",V149*W149),"")</f>
        <v/>
      </c>
      <c r="Y149" s="75"/>
      <c r="Z149" s="75"/>
      <c r="AA149" s="77" t="str">
        <f aca="false">IFERROR(IF(Y149="","",Y149*Z149),"")</f>
        <v/>
      </c>
      <c r="AB149" s="75"/>
      <c r="AC149" s="75"/>
      <c r="AD149" s="77" t="str">
        <f aca="false">IFERROR(IF(AB149="","",AB149*AC149),"")</f>
        <v/>
      </c>
      <c r="AE149" s="75"/>
      <c r="AF149" s="75"/>
      <c r="AG149" s="77" t="str">
        <f aca="false">IFERROR(IF(AE149="","",AE149*AF149),"")</f>
        <v/>
      </c>
      <c r="AH149" s="75"/>
      <c r="AI149" s="75"/>
      <c r="AJ149" s="77" t="str">
        <f aca="false">IFERROR(IF(AH149="","",AH149*AI149),"")</f>
        <v/>
      </c>
      <c r="AK149" s="75"/>
      <c r="AL149" s="75"/>
      <c r="AM149" s="77" t="str">
        <f aca="false">IFERROR(IF(AK149="","",AK149*AL149),"")</f>
        <v/>
      </c>
      <c r="AN149" s="75"/>
    </row>
    <row r="150" customFormat="false" ht="15.75" hidden="false" customHeight="true" outlineLevel="0" collapsed="false">
      <c r="A150" s="60" t="n">
        <v>143</v>
      </c>
      <c r="B150" s="72"/>
      <c r="C150" s="73"/>
      <c r="D150" s="72"/>
      <c r="E150" s="72"/>
      <c r="F150" s="74" t="str">
        <f aca="false">IFERROR(IF(D150="","",D150*E150),"")</f>
        <v/>
      </c>
      <c r="G150" s="72"/>
      <c r="H150" s="72"/>
      <c r="I150" s="74" t="str">
        <f aca="false">IFERROR(IF(G150="","",G150*H150),"")</f>
        <v/>
      </c>
      <c r="J150" s="72"/>
      <c r="K150" s="72"/>
      <c r="L150" s="74" t="str">
        <f aca="false">IFERROR(IF(J150="","",J150*K150),"")</f>
        <v/>
      </c>
      <c r="M150" s="72"/>
      <c r="N150" s="72"/>
      <c r="O150" s="74" t="str">
        <f aca="false">IFERROR(IF(M150="","",M150*N150),"")</f>
        <v/>
      </c>
      <c r="P150" s="72"/>
      <c r="Q150" s="72"/>
      <c r="R150" s="74" t="str">
        <f aca="false">IFERROR(IF(P150="","",P150*Q150),"")</f>
        <v/>
      </c>
      <c r="S150" s="72"/>
      <c r="T150" s="72"/>
      <c r="U150" s="74" t="str">
        <f aca="false">IFERROR(IF(S150="","",S150*T150),"")</f>
        <v/>
      </c>
      <c r="V150" s="72"/>
      <c r="W150" s="72"/>
      <c r="X150" s="74" t="str">
        <f aca="false">IFERROR(IF(V150="","",V150*W150),"")</f>
        <v/>
      </c>
      <c r="Y150" s="72"/>
      <c r="Z150" s="72"/>
      <c r="AA150" s="74" t="str">
        <f aca="false">IFERROR(IF(Y150="","",Y150*Z150),"")</f>
        <v/>
      </c>
      <c r="AB150" s="72"/>
      <c r="AC150" s="72"/>
      <c r="AD150" s="74" t="str">
        <f aca="false">IFERROR(IF(AB150="","",AB150*AC150),"")</f>
        <v/>
      </c>
      <c r="AE150" s="72"/>
      <c r="AF150" s="72"/>
      <c r="AG150" s="74" t="str">
        <f aca="false">IFERROR(IF(AE150="","",AE150*AF150),"")</f>
        <v/>
      </c>
      <c r="AH150" s="72"/>
      <c r="AI150" s="72"/>
      <c r="AJ150" s="74" t="str">
        <f aca="false">IFERROR(IF(AH150="","",AH150*AI150),"")</f>
        <v/>
      </c>
      <c r="AK150" s="72"/>
      <c r="AL150" s="72"/>
      <c r="AM150" s="74" t="str">
        <f aca="false">IFERROR(IF(AK150="","",AK150*AL150),"")</f>
        <v/>
      </c>
      <c r="AN150" s="72"/>
    </row>
    <row r="151" customFormat="false" ht="15.75" hidden="false" customHeight="true" outlineLevel="0" collapsed="false">
      <c r="A151" s="62" t="n">
        <v>144</v>
      </c>
      <c r="B151" s="75"/>
      <c r="C151" s="76"/>
      <c r="D151" s="75"/>
      <c r="E151" s="75"/>
      <c r="F151" s="77" t="str">
        <f aca="false">IFERROR(IF(D151="","",D151*E151),"")</f>
        <v/>
      </c>
      <c r="G151" s="75"/>
      <c r="H151" s="75"/>
      <c r="I151" s="77" t="str">
        <f aca="false">IFERROR(IF(G151="","",G151*H151),"")</f>
        <v/>
      </c>
      <c r="J151" s="75"/>
      <c r="K151" s="75"/>
      <c r="L151" s="77" t="str">
        <f aca="false">IFERROR(IF(J151="","",J151*K151),"")</f>
        <v/>
      </c>
      <c r="M151" s="75"/>
      <c r="N151" s="75"/>
      <c r="O151" s="77" t="str">
        <f aca="false">IFERROR(IF(M151="","",M151*N151),"")</f>
        <v/>
      </c>
      <c r="P151" s="75"/>
      <c r="Q151" s="75"/>
      <c r="R151" s="77" t="str">
        <f aca="false">IFERROR(IF(P151="","",P151*Q151),"")</f>
        <v/>
      </c>
      <c r="S151" s="75"/>
      <c r="T151" s="75"/>
      <c r="U151" s="77" t="str">
        <f aca="false">IFERROR(IF(S151="","",S151*T151),"")</f>
        <v/>
      </c>
      <c r="V151" s="75"/>
      <c r="W151" s="75"/>
      <c r="X151" s="77" t="str">
        <f aca="false">IFERROR(IF(V151="","",V151*W151),"")</f>
        <v/>
      </c>
      <c r="Y151" s="75"/>
      <c r="Z151" s="75"/>
      <c r="AA151" s="77" t="str">
        <f aca="false">IFERROR(IF(Y151="","",Y151*Z151),"")</f>
        <v/>
      </c>
      <c r="AB151" s="75"/>
      <c r="AC151" s="75"/>
      <c r="AD151" s="77" t="str">
        <f aca="false">IFERROR(IF(AB151="","",AB151*AC151),"")</f>
        <v/>
      </c>
      <c r="AE151" s="75"/>
      <c r="AF151" s="75"/>
      <c r="AG151" s="77" t="str">
        <f aca="false">IFERROR(IF(AE151="","",AE151*AF151),"")</f>
        <v/>
      </c>
      <c r="AH151" s="75"/>
      <c r="AI151" s="75"/>
      <c r="AJ151" s="77" t="str">
        <f aca="false">IFERROR(IF(AH151="","",AH151*AI151),"")</f>
        <v/>
      </c>
      <c r="AK151" s="75"/>
      <c r="AL151" s="75"/>
      <c r="AM151" s="77" t="str">
        <f aca="false">IFERROR(IF(AK151="","",AK151*AL151),"")</f>
        <v/>
      </c>
      <c r="AN151" s="75"/>
    </row>
    <row r="152" customFormat="false" ht="15.75" hidden="false" customHeight="true" outlineLevel="0" collapsed="false">
      <c r="A152" s="60" t="n">
        <v>145</v>
      </c>
      <c r="B152" s="72"/>
      <c r="C152" s="73"/>
      <c r="D152" s="72"/>
      <c r="E152" s="72"/>
      <c r="F152" s="74" t="str">
        <f aca="false">IFERROR(IF(D152="","",D152*E152),"")</f>
        <v/>
      </c>
      <c r="G152" s="72"/>
      <c r="H152" s="72"/>
      <c r="I152" s="74" t="str">
        <f aca="false">IFERROR(IF(G152="","",G152*H152),"")</f>
        <v/>
      </c>
      <c r="J152" s="72"/>
      <c r="K152" s="72"/>
      <c r="L152" s="74" t="str">
        <f aca="false">IFERROR(IF(J152="","",J152*K152),"")</f>
        <v/>
      </c>
      <c r="M152" s="72"/>
      <c r="N152" s="72"/>
      <c r="O152" s="74" t="str">
        <f aca="false">IFERROR(IF(M152="","",M152*N152),"")</f>
        <v/>
      </c>
      <c r="P152" s="72"/>
      <c r="Q152" s="72"/>
      <c r="R152" s="74" t="str">
        <f aca="false">IFERROR(IF(P152="","",P152*Q152),"")</f>
        <v/>
      </c>
      <c r="S152" s="72"/>
      <c r="T152" s="72"/>
      <c r="U152" s="74" t="str">
        <f aca="false">IFERROR(IF(S152="","",S152*T152),"")</f>
        <v/>
      </c>
      <c r="V152" s="72"/>
      <c r="W152" s="72"/>
      <c r="X152" s="74" t="str">
        <f aca="false">IFERROR(IF(V152="","",V152*W152),"")</f>
        <v/>
      </c>
      <c r="Y152" s="72"/>
      <c r="Z152" s="72"/>
      <c r="AA152" s="74" t="str">
        <f aca="false">IFERROR(IF(Y152="","",Y152*Z152),"")</f>
        <v/>
      </c>
      <c r="AB152" s="72"/>
      <c r="AC152" s="72"/>
      <c r="AD152" s="74" t="str">
        <f aca="false">IFERROR(IF(AB152="","",AB152*AC152),"")</f>
        <v/>
      </c>
      <c r="AE152" s="72"/>
      <c r="AF152" s="72"/>
      <c r="AG152" s="74" t="str">
        <f aca="false">IFERROR(IF(AE152="","",AE152*AF152),"")</f>
        <v/>
      </c>
      <c r="AH152" s="72"/>
      <c r="AI152" s="72"/>
      <c r="AJ152" s="74" t="str">
        <f aca="false">IFERROR(IF(AH152="","",AH152*AI152),"")</f>
        <v/>
      </c>
      <c r="AK152" s="72"/>
      <c r="AL152" s="72"/>
      <c r="AM152" s="74" t="str">
        <f aca="false">IFERROR(IF(AK152="","",AK152*AL152),"")</f>
        <v/>
      </c>
      <c r="AN152" s="72"/>
    </row>
    <row r="153" customFormat="false" ht="15.75" hidden="false" customHeight="true" outlineLevel="0" collapsed="false">
      <c r="A153" s="62" t="n">
        <v>146</v>
      </c>
      <c r="B153" s="75"/>
      <c r="C153" s="76"/>
      <c r="D153" s="75"/>
      <c r="E153" s="75"/>
      <c r="F153" s="77" t="str">
        <f aca="false">IFERROR(IF(D153="","",D153*E153),"")</f>
        <v/>
      </c>
      <c r="G153" s="75"/>
      <c r="H153" s="75"/>
      <c r="I153" s="77" t="str">
        <f aca="false">IFERROR(IF(G153="","",G153*H153),"")</f>
        <v/>
      </c>
      <c r="J153" s="75"/>
      <c r="K153" s="75"/>
      <c r="L153" s="77" t="str">
        <f aca="false">IFERROR(IF(J153="","",J153*K153),"")</f>
        <v/>
      </c>
      <c r="M153" s="75"/>
      <c r="N153" s="75"/>
      <c r="O153" s="77" t="str">
        <f aca="false">IFERROR(IF(M153="","",M153*N153),"")</f>
        <v/>
      </c>
      <c r="P153" s="75"/>
      <c r="Q153" s="75"/>
      <c r="R153" s="77" t="str">
        <f aca="false">IFERROR(IF(P153="","",P153*Q153),"")</f>
        <v/>
      </c>
      <c r="S153" s="75"/>
      <c r="T153" s="75"/>
      <c r="U153" s="77" t="str">
        <f aca="false">IFERROR(IF(S153="","",S153*T153),"")</f>
        <v/>
      </c>
      <c r="V153" s="75"/>
      <c r="W153" s="75"/>
      <c r="X153" s="77" t="str">
        <f aca="false">IFERROR(IF(V153="","",V153*W153),"")</f>
        <v/>
      </c>
      <c r="Y153" s="75"/>
      <c r="Z153" s="75"/>
      <c r="AA153" s="77" t="str">
        <f aca="false">IFERROR(IF(Y153="","",Y153*Z153),"")</f>
        <v/>
      </c>
      <c r="AB153" s="75"/>
      <c r="AC153" s="75"/>
      <c r="AD153" s="77" t="str">
        <f aca="false">IFERROR(IF(AB153="","",AB153*AC153),"")</f>
        <v/>
      </c>
      <c r="AE153" s="75"/>
      <c r="AF153" s="75"/>
      <c r="AG153" s="77" t="str">
        <f aca="false">IFERROR(IF(AE153="","",AE153*AF153),"")</f>
        <v/>
      </c>
      <c r="AH153" s="75"/>
      <c r="AI153" s="75"/>
      <c r="AJ153" s="77" t="str">
        <f aca="false">IFERROR(IF(AH153="","",AH153*AI153),"")</f>
        <v/>
      </c>
      <c r="AK153" s="75"/>
      <c r="AL153" s="75"/>
      <c r="AM153" s="77" t="str">
        <f aca="false">IFERROR(IF(AK153="","",AK153*AL153),"")</f>
        <v/>
      </c>
      <c r="AN153" s="75"/>
    </row>
    <row r="154" customFormat="false" ht="15.75" hidden="false" customHeight="true" outlineLevel="0" collapsed="false">
      <c r="A154" s="60" t="n">
        <v>147</v>
      </c>
      <c r="B154" s="72"/>
      <c r="C154" s="73"/>
      <c r="D154" s="72"/>
      <c r="E154" s="72"/>
      <c r="F154" s="74" t="str">
        <f aca="false">IFERROR(IF(D154="","",D154*E154),"")</f>
        <v/>
      </c>
      <c r="G154" s="72"/>
      <c r="H154" s="72"/>
      <c r="I154" s="74" t="str">
        <f aca="false">IFERROR(IF(G154="","",G154*H154),"")</f>
        <v/>
      </c>
      <c r="J154" s="72"/>
      <c r="K154" s="72"/>
      <c r="L154" s="74" t="str">
        <f aca="false">IFERROR(IF(J154="","",J154*K154),"")</f>
        <v/>
      </c>
      <c r="M154" s="72"/>
      <c r="N154" s="72"/>
      <c r="O154" s="74" t="str">
        <f aca="false">IFERROR(IF(M154="","",M154*N154),"")</f>
        <v/>
      </c>
      <c r="P154" s="72"/>
      <c r="Q154" s="72"/>
      <c r="R154" s="74" t="str">
        <f aca="false">IFERROR(IF(P154="","",P154*Q154),"")</f>
        <v/>
      </c>
      <c r="S154" s="72"/>
      <c r="T154" s="72"/>
      <c r="U154" s="74" t="str">
        <f aca="false">IFERROR(IF(S154="","",S154*T154),"")</f>
        <v/>
      </c>
      <c r="V154" s="72"/>
      <c r="W154" s="72"/>
      <c r="X154" s="74" t="str">
        <f aca="false">IFERROR(IF(V154="","",V154*W154),"")</f>
        <v/>
      </c>
      <c r="Y154" s="72"/>
      <c r="Z154" s="72"/>
      <c r="AA154" s="74" t="str">
        <f aca="false">IFERROR(IF(Y154="","",Y154*Z154),"")</f>
        <v/>
      </c>
      <c r="AB154" s="72"/>
      <c r="AC154" s="72"/>
      <c r="AD154" s="74" t="str">
        <f aca="false">IFERROR(IF(AB154="","",AB154*AC154),"")</f>
        <v/>
      </c>
      <c r="AE154" s="72"/>
      <c r="AF154" s="72"/>
      <c r="AG154" s="74" t="str">
        <f aca="false">IFERROR(IF(AE154="","",AE154*AF154),"")</f>
        <v/>
      </c>
      <c r="AH154" s="72"/>
      <c r="AI154" s="72"/>
      <c r="AJ154" s="74" t="str">
        <f aca="false">IFERROR(IF(AH154="","",AH154*AI154),"")</f>
        <v/>
      </c>
      <c r="AK154" s="72"/>
      <c r="AL154" s="72"/>
      <c r="AM154" s="74" t="str">
        <f aca="false">IFERROR(IF(AK154="","",AK154*AL154),"")</f>
        <v/>
      </c>
      <c r="AN154" s="72"/>
    </row>
    <row r="155" customFormat="false" ht="15.75" hidden="false" customHeight="true" outlineLevel="0" collapsed="false">
      <c r="A155" s="62" t="n">
        <v>148</v>
      </c>
      <c r="B155" s="75"/>
      <c r="C155" s="76"/>
      <c r="D155" s="75"/>
      <c r="E155" s="75"/>
      <c r="F155" s="77" t="str">
        <f aca="false">IFERROR(IF(D155="","",D155*E155),"")</f>
        <v/>
      </c>
      <c r="G155" s="75"/>
      <c r="H155" s="75"/>
      <c r="I155" s="77" t="str">
        <f aca="false">IFERROR(IF(G155="","",G155*H155),"")</f>
        <v/>
      </c>
      <c r="J155" s="75"/>
      <c r="K155" s="75"/>
      <c r="L155" s="77" t="str">
        <f aca="false">IFERROR(IF(J155="","",J155*K155),"")</f>
        <v/>
      </c>
      <c r="M155" s="75"/>
      <c r="N155" s="75"/>
      <c r="O155" s="77" t="str">
        <f aca="false">IFERROR(IF(M155="","",M155*N155),"")</f>
        <v/>
      </c>
      <c r="P155" s="75"/>
      <c r="Q155" s="75"/>
      <c r="R155" s="77" t="str">
        <f aca="false">IFERROR(IF(P155="","",P155*Q155),"")</f>
        <v/>
      </c>
      <c r="S155" s="75"/>
      <c r="T155" s="75"/>
      <c r="U155" s="77" t="str">
        <f aca="false">IFERROR(IF(S155="","",S155*T155),"")</f>
        <v/>
      </c>
      <c r="V155" s="75"/>
      <c r="W155" s="75"/>
      <c r="X155" s="77" t="str">
        <f aca="false">IFERROR(IF(V155="","",V155*W155),"")</f>
        <v/>
      </c>
      <c r="Y155" s="75"/>
      <c r="Z155" s="75"/>
      <c r="AA155" s="77" t="str">
        <f aca="false">IFERROR(IF(Y155="","",Y155*Z155),"")</f>
        <v/>
      </c>
      <c r="AB155" s="75"/>
      <c r="AC155" s="75"/>
      <c r="AD155" s="77" t="str">
        <f aca="false">IFERROR(IF(AB155="","",AB155*AC155),"")</f>
        <v/>
      </c>
      <c r="AE155" s="75"/>
      <c r="AF155" s="75"/>
      <c r="AG155" s="77" t="str">
        <f aca="false">IFERROR(IF(AE155="","",AE155*AF155),"")</f>
        <v/>
      </c>
      <c r="AH155" s="75"/>
      <c r="AI155" s="75"/>
      <c r="AJ155" s="77" t="str">
        <f aca="false">IFERROR(IF(AH155="","",AH155*AI155),"")</f>
        <v/>
      </c>
      <c r="AK155" s="75"/>
      <c r="AL155" s="75"/>
      <c r="AM155" s="77" t="str">
        <f aca="false">IFERROR(IF(AK155="","",AK155*AL155),"")</f>
        <v/>
      </c>
      <c r="AN155" s="75"/>
    </row>
    <row r="156" customFormat="false" ht="15.75" hidden="false" customHeight="true" outlineLevel="0" collapsed="false">
      <c r="A156" s="60" t="n">
        <v>149</v>
      </c>
      <c r="B156" s="72"/>
      <c r="C156" s="73"/>
      <c r="D156" s="72"/>
      <c r="E156" s="72"/>
      <c r="F156" s="74" t="str">
        <f aca="false">IFERROR(IF(D156="","",D156*E156),"")</f>
        <v/>
      </c>
      <c r="G156" s="72"/>
      <c r="H156" s="72"/>
      <c r="I156" s="74" t="str">
        <f aca="false">IFERROR(IF(G156="","",G156*H156),"")</f>
        <v/>
      </c>
      <c r="J156" s="72"/>
      <c r="K156" s="72"/>
      <c r="L156" s="74" t="str">
        <f aca="false">IFERROR(IF(J156="","",J156*K156),"")</f>
        <v/>
      </c>
      <c r="M156" s="72"/>
      <c r="N156" s="72"/>
      <c r="O156" s="74" t="str">
        <f aca="false">IFERROR(IF(M156="","",M156*N156),"")</f>
        <v/>
      </c>
      <c r="P156" s="72"/>
      <c r="Q156" s="72"/>
      <c r="R156" s="74" t="str">
        <f aca="false">IFERROR(IF(P156="","",P156*Q156),"")</f>
        <v/>
      </c>
      <c r="S156" s="72"/>
      <c r="T156" s="72"/>
      <c r="U156" s="74" t="str">
        <f aca="false">IFERROR(IF(S156="","",S156*T156),"")</f>
        <v/>
      </c>
      <c r="V156" s="72"/>
      <c r="W156" s="72"/>
      <c r="X156" s="74" t="str">
        <f aca="false">IFERROR(IF(V156="","",V156*W156),"")</f>
        <v/>
      </c>
      <c r="Y156" s="72"/>
      <c r="Z156" s="72"/>
      <c r="AA156" s="74" t="str">
        <f aca="false">IFERROR(IF(Y156="","",Y156*Z156),"")</f>
        <v/>
      </c>
      <c r="AB156" s="72"/>
      <c r="AC156" s="72"/>
      <c r="AD156" s="74" t="str">
        <f aca="false">IFERROR(IF(AB156="","",AB156*AC156),"")</f>
        <v/>
      </c>
      <c r="AE156" s="72"/>
      <c r="AF156" s="72"/>
      <c r="AG156" s="74" t="str">
        <f aca="false">IFERROR(IF(AE156="","",AE156*AF156),"")</f>
        <v/>
      </c>
      <c r="AH156" s="72"/>
      <c r="AI156" s="72"/>
      <c r="AJ156" s="74" t="str">
        <f aca="false">IFERROR(IF(AH156="","",AH156*AI156),"")</f>
        <v/>
      </c>
      <c r="AK156" s="72"/>
      <c r="AL156" s="72"/>
      <c r="AM156" s="74" t="str">
        <f aca="false">IFERROR(IF(AK156="","",AK156*AL156),"")</f>
        <v/>
      </c>
      <c r="AN156" s="72"/>
    </row>
    <row r="157" customFormat="false" ht="15.75" hidden="false" customHeight="true" outlineLevel="0" collapsed="false">
      <c r="A157" s="62" t="n">
        <v>150</v>
      </c>
      <c r="B157" s="75"/>
      <c r="C157" s="76"/>
      <c r="D157" s="75"/>
      <c r="E157" s="75"/>
      <c r="F157" s="77" t="str">
        <f aca="false">IFERROR(IF(D157="","",D157*E157),"")</f>
        <v/>
      </c>
      <c r="G157" s="75"/>
      <c r="H157" s="75"/>
      <c r="I157" s="77" t="str">
        <f aca="false">IFERROR(IF(G157="","",G157*H157),"")</f>
        <v/>
      </c>
      <c r="J157" s="75"/>
      <c r="K157" s="75"/>
      <c r="L157" s="77" t="str">
        <f aca="false">IFERROR(IF(J157="","",J157*K157),"")</f>
        <v/>
      </c>
      <c r="M157" s="75"/>
      <c r="N157" s="75"/>
      <c r="O157" s="77" t="str">
        <f aca="false">IFERROR(IF(M157="","",M157*N157),"")</f>
        <v/>
      </c>
      <c r="P157" s="75"/>
      <c r="Q157" s="75"/>
      <c r="R157" s="77" t="str">
        <f aca="false">IFERROR(IF(P157="","",P157*Q157),"")</f>
        <v/>
      </c>
      <c r="S157" s="75"/>
      <c r="T157" s="75"/>
      <c r="U157" s="77" t="str">
        <f aca="false">IFERROR(IF(S157="","",S157*T157),"")</f>
        <v/>
      </c>
      <c r="V157" s="75"/>
      <c r="W157" s="75"/>
      <c r="X157" s="77" t="str">
        <f aca="false">IFERROR(IF(V157="","",V157*W157),"")</f>
        <v/>
      </c>
      <c r="Y157" s="75"/>
      <c r="Z157" s="75"/>
      <c r="AA157" s="77" t="str">
        <f aca="false">IFERROR(IF(Y157="","",Y157*Z157),"")</f>
        <v/>
      </c>
      <c r="AB157" s="75"/>
      <c r="AC157" s="75"/>
      <c r="AD157" s="77" t="str">
        <f aca="false">IFERROR(IF(AB157="","",AB157*AC157),"")</f>
        <v/>
      </c>
      <c r="AE157" s="75"/>
      <c r="AF157" s="75"/>
      <c r="AG157" s="77" t="str">
        <f aca="false">IFERROR(IF(AE157="","",AE157*AF157),"")</f>
        <v/>
      </c>
      <c r="AH157" s="75"/>
      <c r="AI157" s="75"/>
      <c r="AJ157" s="77" t="str">
        <f aca="false">IFERROR(IF(AH157="","",AH157*AI157),"")</f>
        <v/>
      </c>
      <c r="AK157" s="75"/>
      <c r="AL157" s="75"/>
      <c r="AM157" s="77" t="str">
        <f aca="false">IFERROR(IF(AK157="","",AK157*AL157),"")</f>
        <v/>
      </c>
      <c r="AN157" s="75"/>
    </row>
    <row r="158" customFormat="false" ht="15.75" hidden="false" customHeight="true" outlineLevel="0" collapsed="false">
      <c r="A158" s="60" t="n">
        <v>151</v>
      </c>
      <c r="B158" s="72"/>
      <c r="C158" s="73"/>
      <c r="D158" s="72"/>
      <c r="E158" s="72"/>
      <c r="F158" s="74" t="str">
        <f aca="false">IFERROR(IF(D158="","",D158*E158),"")</f>
        <v/>
      </c>
      <c r="G158" s="72"/>
      <c r="H158" s="72"/>
      <c r="I158" s="74" t="str">
        <f aca="false">IFERROR(IF(G158="","",G158*H158),"")</f>
        <v/>
      </c>
      <c r="J158" s="72"/>
      <c r="K158" s="72"/>
      <c r="L158" s="74" t="str">
        <f aca="false">IFERROR(IF(J158="","",J158*K158),"")</f>
        <v/>
      </c>
      <c r="M158" s="72"/>
      <c r="N158" s="72"/>
      <c r="O158" s="74" t="str">
        <f aca="false">IFERROR(IF(M158="","",M158*N158),"")</f>
        <v/>
      </c>
      <c r="P158" s="72"/>
      <c r="Q158" s="72"/>
      <c r="R158" s="74" t="str">
        <f aca="false">IFERROR(IF(P158="","",P158*Q158),"")</f>
        <v/>
      </c>
      <c r="S158" s="72"/>
      <c r="T158" s="72"/>
      <c r="U158" s="74" t="str">
        <f aca="false">IFERROR(IF(S158="","",S158*T158),"")</f>
        <v/>
      </c>
      <c r="V158" s="72"/>
      <c r="W158" s="72"/>
      <c r="X158" s="74" t="str">
        <f aca="false">IFERROR(IF(V158="","",V158*W158),"")</f>
        <v/>
      </c>
      <c r="Y158" s="72"/>
      <c r="Z158" s="72"/>
      <c r="AA158" s="74" t="str">
        <f aca="false">IFERROR(IF(Y158="","",Y158*Z158),"")</f>
        <v/>
      </c>
      <c r="AB158" s="72"/>
      <c r="AC158" s="72"/>
      <c r="AD158" s="74" t="str">
        <f aca="false">IFERROR(IF(AB158="","",AB158*AC158),"")</f>
        <v/>
      </c>
      <c r="AE158" s="72"/>
      <c r="AF158" s="72"/>
      <c r="AG158" s="74" t="str">
        <f aca="false">IFERROR(IF(AE158="","",AE158*AF158),"")</f>
        <v/>
      </c>
      <c r="AH158" s="72"/>
      <c r="AI158" s="72"/>
      <c r="AJ158" s="74" t="str">
        <f aca="false">IFERROR(IF(AH158="","",AH158*AI158),"")</f>
        <v/>
      </c>
      <c r="AK158" s="72"/>
      <c r="AL158" s="72"/>
      <c r="AM158" s="74" t="str">
        <f aca="false">IFERROR(IF(AK158="","",AK158*AL158),"")</f>
        <v/>
      </c>
      <c r="AN158" s="72"/>
    </row>
    <row r="159" customFormat="false" ht="15.75" hidden="false" customHeight="true" outlineLevel="0" collapsed="false">
      <c r="A159" s="62" t="n">
        <v>152</v>
      </c>
      <c r="B159" s="75"/>
      <c r="C159" s="76"/>
      <c r="D159" s="75"/>
      <c r="E159" s="75"/>
      <c r="F159" s="77" t="str">
        <f aca="false">IFERROR(IF(D159="","",D159*E159),"")</f>
        <v/>
      </c>
      <c r="G159" s="75"/>
      <c r="H159" s="75"/>
      <c r="I159" s="77" t="str">
        <f aca="false">IFERROR(IF(G159="","",G159*H159),"")</f>
        <v/>
      </c>
      <c r="J159" s="75"/>
      <c r="K159" s="75"/>
      <c r="L159" s="77" t="str">
        <f aca="false">IFERROR(IF(J159="","",J159*K159),"")</f>
        <v/>
      </c>
      <c r="M159" s="75"/>
      <c r="N159" s="75"/>
      <c r="O159" s="77" t="str">
        <f aca="false">IFERROR(IF(M159="","",M159*N159),"")</f>
        <v/>
      </c>
      <c r="P159" s="75"/>
      <c r="Q159" s="75"/>
      <c r="R159" s="77" t="str">
        <f aca="false">IFERROR(IF(P159="","",P159*Q159),"")</f>
        <v/>
      </c>
      <c r="S159" s="75"/>
      <c r="T159" s="75"/>
      <c r="U159" s="77" t="str">
        <f aca="false">IFERROR(IF(S159="","",S159*T159),"")</f>
        <v/>
      </c>
      <c r="V159" s="75"/>
      <c r="W159" s="75"/>
      <c r="X159" s="77" t="str">
        <f aca="false">IFERROR(IF(V159="","",V159*W159),"")</f>
        <v/>
      </c>
      <c r="Y159" s="75"/>
      <c r="Z159" s="75"/>
      <c r="AA159" s="77" t="str">
        <f aca="false">IFERROR(IF(Y159="","",Y159*Z159),"")</f>
        <v/>
      </c>
      <c r="AB159" s="75"/>
      <c r="AC159" s="75"/>
      <c r="AD159" s="77" t="str">
        <f aca="false">IFERROR(IF(AB159="","",AB159*AC159),"")</f>
        <v/>
      </c>
      <c r="AE159" s="75"/>
      <c r="AF159" s="75"/>
      <c r="AG159" s="77" t="str">
        <f aca="false">IFERROR(IF(AE159="","",AE159*AF159),"")</f>
        <v/>
      </c>
      <c r="AH159" s="75"/>
      <c r="AI159" s="75"/>
      <c r="AJ159" s="77" t="str">
        <f aca="false">IFERROR(IF(AH159="","",AH159*AI159),"")</f>
        <v/>
      </c>
      <c r="AK159" s="75"/>
      <c r="AL159" s="75"/>
      <c r="AM159" s="77" t="str">
        <f aca="false">IFERROR(IF(AK159="","",AK159*AL159),"")</f>
        <v/>
      </c>
      <c r="AN159" s="75"/>
    </row>
    <row r="160" customFormat="false" ht="15.75" hidden="false" customHeight="true" outlineLevel="0" collapsed="false">
      <c r="A160" s="60" t="n">
        <v>153</v>
      </c>
      <c r="B160" s="72"/>
      <c r="C160" s="73"/>
      <c r="D160" s="72"/>
      <c r="E160" s="72"/>
      <c r="F160" s="74" t="str">
        <f aca="false">IFERROR(IF(D160="","",D160*E160),"")</f>
        <v/>
      </c>
      <c r="G160" s="72"/>
      <c r="H160" s="72"/>
      <c r="I160" s="74" t="str">
        <f aca="false">IFERROR(IF(G160="","",G160*H160),"")</f>
        <v/>
      </c>
      <c r="J160" s="72"/>
      <c r="K160" s="72"/>
      <c r="L160" s="74" t="str">
        <f aca="false">IFERROR(IF(J160="","",J160*K160),"")</f>
        <v/>
      </c>
      <c r="M160" s="72"/>
      <c r="N160" s="72"/>
      <c r="O160" s="74" t="str">
        <f aca="false">IFERROR(IF(M160="","",M160*N160),"")</f>
        <v/>
      </c>
      <c r="P160" s="72"/>
      <c r="Q160" s="72"/>
      <c r="R160" s="74" t="str">
        <f aca="false">IFERROR(IF(P160="","",P160*Q160),"")</f>
        <v/>
      </c>
      <c r="S160" s="72"/>
      <c r="T160" s="72"/>
      <c r="U160" s="74" t="str">
        <f aca="false">IFERROR(IF(S160="","",S160*T160),"")</f>
        <v/>
      </c>
      <c r="V160" s="72"/>
      <c r="W160" s="72"/>
      <c r="X160" s="74" t="str">
        <f aca="false">IFERROR(IF(V160="","",V160*W160),"")</f>
        <v/>
      </c>
      <c r="Y160" s="72"/>
      <c r="Z160" s="72"/>
      <c r="AA160" s="74" t="str">
        <f aca="false">IFERROR(IF(Y160="","",Y160*Z160),"")</f>
        <v/>
      </c>
      <c r="AB160" s="72"/>
      <c r="AC160" s="72"/>
      <c r="AD160" s="74" t="str">
        <f aca="false">IFERROR(IF(AB160="","",AB160*AC160),"")</f>
        <v/>
      </c>
      <c r="AE160" s="72"/>
      <c r="AF160" s="72"/>
      <c r="AG160" s="74" t="str">
        <f aca="false">IFERROR(IF(AE160="","",AE160*AF160),"")</f>
        <v/>
      </c>
      <c r="AH160" s="72"/>
      <c r="AI160" s="72"/>
      <c r="AJ160" s="74" t="str">
        <f aca="false">IFERROR(IF(AH160="","",AH160*AI160),"")</f>
        <v/>
      </c>
      <c r="AK160" s="72"/>
      <c r="AL160" s="72"/>
      <c r="AM160" s="74" t="str">
        <f aca="false">IFERROR(IF(AK160="","",AK160*AL160),"")</f>
        <v/>
      </c>
      <c r="AN160" s="72"/>
    </row>
    <row r="161" customFormat="false" ht="15.75" hidden="false" customHeight="true" outlineLevel="0" collapsed="false">
      <c r="A161" s="62" t="n">
        <v>154</v>
      </c>
      <c r="B161" s="75"/>
      <c r="C161" s="76"/>
      <c r="D161" s="75"/>
      <c r="E161" s="75"/>
      <c r="F161" s="77" t="str">
        <f aca="false">IFERROR(IF(D161="","",D161*E161),"")</f>
        <v/>
      </c>
      <c r="G161" s="75"/>
      <c r="H161" s="75"/>
      <c r="I161" s="77" t="str">
        <f aca="false">IFERROR(IF(G161="","",G161*H161),"")</f>
        <v/>
      </c>
      <c r="J161" s="75"/>
      <c r="K161" s="75"/>
      <c r="L161" s="77" t="str">
        <f aca="false">IFERROR(IF(J161="","",J161*K161),"")</f>
        <v/>
      </c>
      <c r="M161" s="75"/>
      <c r="N161" s="75"/>
      <c r="O161" s="77" t="str">
        <f aca="false">IFERROR(IF(M161="","",M161*N161),"")</f>
        <v/>
      </c>
      <c r="P161" s="75"/>
      <c r="Q161" s="75"/>
      <c r="R161" s="77" t="str">
        <f aca="false">IFERROR(IF(P161="","",P161*Q161),"")</f>
        <v/>
      </c>
      <c r="S161" s="75"/>
      <c r="T161" s="75"/>
      <c r="U161" s="77" t="str">
        <f aca="false">IFERROR(IF(S161="","",S161*T161),"")</f>
        <v/>
      </c>
      <c r="V161" s="75"/>
      <c r="W161" s="75"/>
      <c r="X161" s="77" t="str">
        <f aca="false">IFERROR(IF(V161="","",V161*W161),"")</f>
        <v/>
      </c>
      <c r="Y161" s="75"/>
      <c r="Z161" s="75"/>
      <c r="AA161" s="77" t="str">
        <f aca="false">IFERROR(IF(Y161="","",Y161*Z161),"")</f>
        <v/>
      </c>
      <c r="AB161" s="75"/>
      <c r="AC161" s="75"/>
      <c r="AD161" s="77" t="str">
        <f aca="false">IFERROR(IF(AB161="","",AB161*AC161),"")</f>
        <v/>
      </c>
      <c r="AE161" s="75"/>
      <c r="AF161" s="75"/>
      <c r="AG161" s="77" t="str">
        <f aca="false">IFERROR(IF(AE161="","",AE161*AF161),"")</f>
        <v/>
      </c>
      <c r="AH161" s="75"/>
      <c r="AI161" s="75"/>
      <c r="AJ161" s="77" t="str">
        <f aca="false">IFERROR(IF(AH161="","",AH161*AI161),"")</f>
        <v/>
      </c>
      <c r="AK161" s="75"/>
      <c r="AL161" s="75"/>
      <c r="AM161" s="77" t="str">
        <f aca="false">IFERROR(IF(AK161="","",AK161*AL161),"")</f>
        <v/>
      </c>
      <c r="AN161" s="75"/>
    </row>
    <row r="162" customFormat="false" ht="15.75" hidden="false" customHeight="true" outlineLevel="0" collapsed="false">
      <c r="A162" s="60" t="n">
        <v>155</v>
      </c>
      <c r="B162" s="72"/>
      <c r="C162" s="73"/>
      <c r="D162" s="72"/>
      <c r="E162" s="72"/>
      <c r="F162" s="74" t="str">
        <f aca="false">IFERROR(IF(D162="","",D162*E162),"")</f>
        <v/>
      </c>
      <c r="G162" s="72"/>
      <c r="H162" s="72"/>
      <c r="I162" s="74" t="str">
        <f aca="false">IFERROR(IF(G162="","",G162*H162),"")</f>
        <v/>
      </c>
      <c r="J162" s="72"/>
      <c r="K162" s="72"/>
      <c r="L162" s="74" t="str">
        <f aca="false">IFERROR(IF(J162="","",J162*K162),"")</f>
        <v/>
      </c>
      <c r="M162" s="72"/>
      <c r="N162" s="72"/>
      <c r="O162" s="74" t="str">
        <f aca="false">IFERROR(IF(M162="","",M162*N162),"")</f>
        <v/>
      </c>
      <c r="P162" s="72"/>
      <c r="Q162" s="72"/>
      <c r="R162" s="74" t="str">
        <f aca="false">IFERROR(IF(P162="","",P162*Q162),"")</f>
        <v/>
      </c>
      <c r="S162" s="72"/>
      <c r="T162" s="72"/>
      <c r="U162" s="74" t="str">
        <f aca="false">IFERROR(IF(S162="","",S162*T162),"")</f>
        <v/>
      </c>
      <c r="V162" s="72"/>
      <c r="W162" s="72"/>
      <c r="X162" s="74" t="str">
        <f aca="false">IFERROR(IF(V162="","",V162*W162),"")</f>
        <v/>
      </c>
      <c r="Y162" s="72"/>
      <c r="Z162" s="72"/>
      <c r="AA162" s="74" t="str">
        <f aca="false">IFERROR(IF(Y162="","",Y162*Z162),"")</f>
        <v/>
      </c>
      <c r="AB162" s="72"/>
      <c r="AC162" s="72"/>
      <c r="AD162" s="74" t="str">
        <f aca="false">IFERROR(IF(AB162="","",AB162*AC162),"")</f>
        <v/>
      </c>
      <c r="AE162" s="72"/>
      <c r="AF162" s="72"/>
      <c r="AG162" s="74" t="str">
        <f aca="false">IFERROR(IF(AE162="","",AE162*AF162),"")</f>
        <v/>
      </c>
      <c r="AH162" s="72"/>
      <c r="AI162" s="72"/>
      <c r="AJ162" s="74" t="str">
        <f aca="false">IFERROR(IF(AH162="","",AH162*AI162),"")</f>
        <v/>
      </c>
      <c r="AK162" s="72"/>
      <c r="AL162" s="72"/>
      <c r="AM162" s="74" t="str">
        <f aca="false">IFERROR(IF(AK162="","",AK162*AL162),"")</f>
        <v/>
      </c>
      <c r="AN162" s="72"/>
    </row>
    <row r="163" customFormat="false" ht="15.75" hidden="false" customHeight="true" outlineLevel="0" collapsed="false">
      <c r="A163" s="62" t="n">
        <v>156</v>
      </c>
      <c r="B163" s="75"/>
      <c r="C163" s="76"/>
      <c r="D163" s="75"/>
      <c r="E163" s="75"/>
      <c r="F163" s="77" t="str">
        <f aca="false">IFERROR(IF(D163="","",D163*E163),"")</f>
        <v/>
      </c>
      <c r="G163" s="75"/>
      <c r="H163" s="75"/>
      <c r="I163" s="77" t="str">
        <f aca="false">IFERROR(IF(G163="","",G163*H163),"")</f>
        <v/>
      </c>
      <c r="J163" s="75"/>
      <c r="K163" s="75"/>
      <c r="L163" s="77" t="str">
        <f aca="false">IFERROR(IF(J163="","",J163*K163),"")</f>
        <v/>
      </c>
      <c r="M163" s="75"/>
      <c r="N163" s="75"/>
      <c r="O163" s="77" t="str">
        <f aca="false">IFERROR(IF(M163="","",M163*N163),"")</f>
        <v/>
      </c>
      <c r="P163" s="75"/>
      <c r="Q163" s="75"/>
      <c r="R163" s="77" t="str">
        <f aca="false">IFERROR(IF(P163="","",P163*Q163),"")</f>
        <v/>
      </c>
      <c r="S163" s="75"/>
      <c r="T163" s="75"/>
      <c r="U163" s="77" t="str">
        <f aca="false">IFERROR(IF(S163="","",S163*T163),"")</f>
        <v/>
      </c>
      <c r="V163" s="75"/>
      <c r="W163" s="75"/>
      <c r="X163" s="77" t="str">
        <f aca="false">IFERROR(IF(V163="","",V163*W163),"")</f>
        <v/>
      </c>
      <c r="Y163" s="75"/>
      <c r="Z163" s="75"/>
      <c r="AA163" s="77" t="str">
        <f aca="false">IFERROR(IF(Y163="","",Y163*Z163),"")</f>
        <v/>
      </c>
      <c r="AB163" s="75"/>
      <c r="AC163" s="75"/>
      <c r="AD163" s="77" t="str">
        <f aca="false">IFERROR(IF(AB163="","",AB163*AC163),"")</f>
        <v/>
      </c>
      <c r="AE163" s="75"/>
      <c r="AF163" s="75"/>
      <c r="AG163" s="77" t="str">
        <f aca="false">IFERROR(IF(AE163="","",AE163*AF163),"")</f>
        <v/>
      </c>
      <c r="AH163" s="75"/>
      <c r="AI163" s="75"/>
      <c r="AJ163" s="77" t="str">
        <f aca="false">IFERROR(IF(AH163="","",AH163*AI163),"")</f>
        <v/>
      </c>
      <c r="AK163" s="75"/>
      <c r="AL163" s="75"/>
      <c r="AM163" s="77" t="str">
        <f aca="false">IFERROR(IF(AK163="","",AK163*AL163),"")</f>
        <v/>
      </c>
      <c r="AN163" s="75"/>
    </row>
    <row r="164" customFormat="false" ht="15.75" hidden="false" customHeight="true" outlineLevel="0" collapsed="false">
      <c r="A164" s="60" t="n">
        <v>157</v>
      </c>
      <c r="B164" s="72"/>
      <c r="C164" s="73"/>
      <c r="D164" s="72"/>
      <c r="E164" s="72"/>
      <c r="F164" s="74" t="str">
        <f aca="false">IFERROR(IF(D164="","",D164*E164),"")</f>
        <v/>
      </c>
      <c r="G164" s="72"/>
      <c r="H164" s="72"/>
      <c r="I164" s="74" t="str">
        <f aca="false">IFERROR(IF(G164="","",G164*H164),"")</f>
        <v/>
      </c>
      <c r="J164" s="72"/>
      <c r="K164" s="72"/>
      <c r="L164" s="74" t="str">
        <f aca="false">IFERROR(IF(J164="","",J164*K164),"")</f>
        <v/>
      </c>
      <c r="M164" s="72"/>
      <c r="N164" s="72"/>
      <c r="O164" s="74" t="str">
        <f aca="false">IFERROR(IF(M164="","",M164*N164),"")</f>
        <v/>
      </c>
      <c r="P164" s="72"/>
      <c r="Q164" s="72"/>
      <c r="R164" s="74" t="str">
        <f aca="false">IFERROR(IF(P164="","",P164*Q164),"")</f>
        <v/>
      </c>
      <c r="S164" s="72"/>
      <c r="T164" s="72"/>
      <c r="U164" s="74" t="str">
        <f aca="false">IFERROR(IF(S164="","",S164*T164),"")</f>
        <v/>
      </c>
      <c r="V164" s="72"/>
      <c r="W164" s="72"/>
      <c r="X164" s="74" t="str">
        <f aca="false">IFERROR(IF(V164="","",V164*W164),"")</f>
        <v/>
      </c>
      <c r="Y164" s="72"/>
      <c r="Z164" s="72"/>
      <c r="AA164" s="74" t="str">
        <f aca="false">IFERROR(IF(Y164="","",Y164*Z164),"")</f>
        <v/>
      </c>
      <c r="AB164" s="72"/>
      <c r="AC164" s="72"/>
      <c r="AD164" s="74" t="str">
        <f aca="false">IFERROR(IF(AB164="","",AB164*AC164),"")</f>
        <v/>
      </c>
      <c r="AE164" s="72"/>
      <c r="AF164" s="72"/>
      <c r="AG164" s="74" t="str">
        <f aca="false">IFERROR(IF(AE164="","",AE164*AF164),"")</f>
        <v/>
      </c>
      <c r="AH164" s="72"/>
      <c r="AI164" s="72"/>
      <c r="AJ164" s="74" t="str">
        <f aca="false">IFERROR(IF(AH164="","",AH164*AI164),"")</f>
        <v/>
      </c>
      <c r="AK164" s="72"/>
      <c r="AL164" s="72"/>
      <c r="AM164" s="74" t="str">
        <f aca="false">IFERROR(IF(AK164="","",AK164*AL164),"")</f>
        <v/>
      </c>
      <c r="AN164" s="72"/>
    </row>
    <row r="165" customFormat="false" ht="15.75" hidden="false" customHeight="true" outlineLevel="0" collapsed="false">
      <c r="A165" s="62" t="n">
        <v>158</v>
      </c>
      <c r="B165" s="75"/>
      <c r="C165" s="76"/>
      <c r="D165" s="75"/>
      <c r="E165" s="75"/>
      <c r="F165" s="77" t="str">
        <f aca="false">IFERROR(IF(D165="","",D165*E165),"")</f>
        <v/>
      </c>
      <c r="G165" s="75"/>
      <c r="H165" s="75"/>
      <c r="I165" s="77" t="str">
        <f aca="false">IFERROR(IF(G165="","",G165*H165),"")</f>
        <v/>
      </c>
      <c r="J165" s="75"/>
      <c r="K165" s="75"/>
      <c r="L165" s="77" t="str">
        <f aca="false">IFERROR(IF(J165="","",J165*K165),"")</f>
        <v/>
      </c>
      <c r="M165" s="75"/>
      <c r="N165" s="75"/>
      <c r="O165" s="77" t="str">
        <f aca="false">IFERROR(IF(M165="","",M165*N165),"")</f>
        <v/>
      </c>
      <c r="P165" s="75"/>
      <c r="Q165" s="75"/>
      <c r="R165" s="77" t="str">
        <f aca="false">IFERROR(IF(P165="","",P165*Q165),"")</f>
        <v/>
      </c>
      <c r="S165" s="75"/>
      <c r="T165" s="75"/>
      <c r="U165" s="77" t="str">
        <f aca="false">IFERROR(IF(S165="","",S165*T165),"")</f>
        <v/>
      </c>
      <c r="V165" s="75"/>
      <c r="W165" s="75"/>
      <c r="X165" s="77" t="str">
        <f aca="false">IFERROR(IF(V165="","",V165*W165),"")</f>
        <v/>
      </c>
      <c r="Y165" s="75"/>
      <c r="Z165" s="75"/>
      <c r="AA165" s="77" t="str">
        <f aca="false">IFERROR(IF(Y165="","",Y165*Z165),"")</f>
        <v/>
      </c>
      <c r="AB165" s="75"/>
      <c r="AC165" s="75"/>
      <c r="AD165" s="77" t="str">
        <f aca="false">IFERROR(IF(AB165="","",AB165*AC165),"")</f>
        <v/>
      </c>
      <c r="AE165" s="75"/>
      <c r="AF165" s="75"/>
      <c r="AG165" s="77" t="str">
        <f aca="false">IFERROR(IF(AE165="","",AE165*AF165),"")</f>
        <v/>
      </c>
      <c r="AH165" s="75"/>
      <c r="AI165" s="75"/>
      <c r="AJ165" s="77" t="str">
        <f aca="false">IFERROR(IF(AH165="","",AH165*AI165),"")</f>
        <v/>
      </c>
      <c r="AK165" s="75"/>
      <c r="AL165" s="75"/>
      <c r="AM165" s="77" t="str">
        <f aca="false">IFERROR(IF(AK165="","",AK165*AL165),"")</f>
        <v/>
      </c>
      <c r="AN165" s="75"/>
    </row>
    <row r="166" customFormat="false" ht="15.75" hidden="false" customHeight="true" outlineLevel="0" collapsed="false">
      <c r="A166" s="60" t="n">
        <v>159</v>
      </c>
      <c r="B166" s="72"/>
      <c r="C166" s="73"/>
      <c r="D166" s="72"/>
      <c r="E166" s="72"/>
      <c r="F166" s="74" t="str">
        <f aca="false">IFERROR(IF(D166="","",D166*E166),"")</f>
        <v/>
      </c>
      <c r="G166" s="72"/>
      <c r="H166" s="72"/>
      <c r="I166" s="74" t="str">
        <f aca="false">IFERROR(IF(G166="","",G166*H166),"")</f>
        <v/>
      </c>
      <c r="J166" s="72"/>
      <c r="K166" s="72"/>
      <c r="L166" s="74" t="str">
        <f aca="false">IFERROR(IF(J166="","",J166*K166),"")</f>
        <v/>
      </c>
      <c r="M166" s="72"/>
      <c r="N166" s="72"/>
      <c r="O166" s="74" t="str">
        <f aca="false">IFERROR(IF(M166="","",M166*N166),"")</f>
        <v/>
      </c>
      <c r="P166" s="72"/>
      <c r="Q166" s="72"/>
      <c r="R166" s="74" t="str">
        <f aca="false">IFERROR(IF(P166="","",P166*Q166),"")</f>
        <v/>
      </c>
      <c r="S166" s="72"/>
      <c r="T166" s="72"/>
      <c r="U166" s="74" t="str">
        <f aca="false">IFERROR(IF(S166="","",S166*T166),"")</f>
        <v/>
      </c>
      <c r="V166" s="72"/>
      <c r="W166" s="72"/>
      <c r="X166" s="74" t="str">
        <f aca="false">IFERROR(IF(V166="","",V166*W166),"")</f>
        <v/>
      </c>
      <c r="Y166" s="72"/>
      <c r="Z166" s="72"/>
      <c r="AA166" s="74" t="str">
        <f aca="false">IFERROR(IF(Y166="","",Y166*Z166),"")</f>
        <v/>
      </c>
      <c r="AB166" s="72"/>
      <c r="AC166" s="72"/>
      <c r="AD166" s="74" t="str">
        <f aca="false">IFERROR(IF(AB166="","",AB166*AC166),"")</f>
        <v/>
      </c>
      <c r="AE166" s="72"/>
      <c r="AF166" s="72"/>
      <c r="AG166" s="74" t="str">
        <f aca="false">IFERROR(IF(AE166="","",AE166*AF166),"")</f>
        <v/>
      </c>
      <c r="AH166" s="72"/>
      <c r="AI166" s="72"/>
      <c r="AJ166" s="74" t="str">
        <f aca="false">IFERROR(IF(AH166="","",AH166*AI166),"")</f>
        <v/>
      </c>
      <c r="AK166" s="72"/>
      <c r="AL166" s="72"/>
      <c r="AM166" s="74" t="str">
        <f aca="false">IFERROR(IF(AK166="","",AK166*AL166),"")</f>
        <v/>
      </c>
      <c r="AN166" s="72"/>
    </row>
    <row r="167" customFormat="false" ht="15.75" hidden="false" customHeight="true" outlineLevel="0" collapsed="false">
      <c r="A167" s="62" t="n">
        <v>160</v>
      </c>
      <c r="B167" s="75"/>
      <c r="C167" s="76"/>
      <c r="D167" s="75"/>
      <c r="E167" s="75"/>
      <c r="F167" s="77" t="str">
        <f aca="false">IFERROR(IF(D167="","",D167*E167),"")</f>
        <v/>
      </c>
      <c r="G167" s="75"/>
      <c r="H167" s="75"/>
      <c r="I167" s="77" t="str">
        <f aca="false">IFERROR(IF(G167="","",G167*H167),"")</f>
        <v/>
      </c>
      <c r="J167" s="75"/>
      <c r="K167" s="75"/>
      <c r="L167" s="77" t="str">
        <f aca="false">IFERROR(IF(J167="","",J167*K167),"")</f>
        <v/>
      </c>
      <c r="M167" s="75"/>
      <c r="N167" s="75"/>
      <c r="O167" s="77" t="str">
        <f aca="false">IFERROR(IF(M167="","",M167*N167),"")</f>
        <v/>
      </c>
      <c r="P167" s="75"/>
      <c r="Q167" s="75"/>
      <c r="R167" s="77" t="str">
        <f aca="false">IFERROR(IF(P167="","",P167*Q167),"")</f>
        <v/>
      </c>
      <c r="S167" s="75"/>
      <c r="T167" s="75"/>
      <c r="U167" s="77" t="str">
        <f aca="false">IFERROR(IF(S167="","",S167*T167),"")</f>
        <v/>
      </c>
      <c r="V167" s="75"/>
      <c r="W167" s="75"/>
      <c r="X167" s="77" t="str">
        <f aca="false">IFERROR(IF(V167="","",V167*W167),"")</f>
        <v/>
      </c>
      <c r="Y167" s="75"/>
      <c r="Z167" s="75"/>
      <c r="AA167" s="77" t="str">
        <f aca="false">IFERROR(IF(Y167="","",Y167*Z167),"")</f>
        <v/>
      </c>
      <c r="AB167" s="75"/>
      <c r="AC167" s="75"/>
      <c r="AD167" s="77" t="str">
        <f aca="false">IFERROR(IF(AB167="","",AB167*AC167),"")</f>
        <v/>
      </c>
      <c r="AE167" s="75"/>
      <c r="AF167" s="75"/>
      <c r="AG167" s="77" t="str">
        <f aca="false">IFERROR(IF(AE167="","",AE167*AF167),"")</f>
        <v/>
      </c>
      <c r="AH167" s="75"/>
      <c r="AI167" s="75"/>
      <c r="AJ167" s="77" t="str">
        <f aca="false">IFERROR(IF(AH167="","",AH167*AI167),"")</f>
        <v/>
      </c>
      <c r="AK167" s="75"/>
      <c r="AL167" s="75"/>
      <c r="AM167" s="77" t="str">
        <f aca="false">IFERROR(IF(AK167="","",AK167*AL167),"")</f>
        <v/>
      </c>
      <c r="AN167" s="75"/>
    </row>
    <row r="168" customFormat="false" ht="15.75" hidden="false" customHeight="true" outlineLevel="0" collapsed="false">
      <c r="A168" s="60" t="n">
        <v>161</v>
      </c>
      <c r="B168" s="72"/>
      <c r="C168" s="73"/>
      <c r="D168" s="72"/>
      <c r="E168" s="72"/>
      <c r="F168" s="74" t="str">
        <f aca="false">IFERROR(IF(D168="","",D168*E168),"")</f>
        <v/>
      </c>
      <c r="G168" s="72"/>
      <c r="H168" s="72"/>
      <c r="I168" s="74" t="str">
        <f aca="false">IFERROR(IF(G168="","",G168*H168),"")</f>
        <v/>
      </c>
      <c r="J168" s="72"/>
      <c r="K168" s="72"/>
      <c r="L168" s="74" t="str">
        <f aca="false">IFERROR(IF(J168="","",J168*K168),"")</f>
        <v/>
      </c>
      <c r="M168" s="72"/>
      <c r="N168" s="72"/>
      <c r="O168" s="74" t="str">
        <f aca="false">IFERROR(IF(M168="","",M168*N168),"")</f>
        <v/>
      </c>
      <c r="P168" s="72"/>
      <c r="Q168" s="72"/>
      <c r="R168" s="74" t="str">
        <f aca="false">IFERROR(IF(P168="","",P168*Q168),"")</f>
        <v/>
      </c>
      <c r="S168" s="72"/>
      <c r="T168" s="72"/>
      <c r="U168" s="74" t="str">
        <f aca="false">IFERROR(IF(S168="","",S168*T168),"")</f>
        <v/>
      </c>
      <c r="V168" s="72"/>
      <c r="W168" s="72"/>
      <c r="X168" s="74" t="str">
        <f aca="false">IFERROR(IF(V168="","",V168*W168),"")</f>
        <v/>
      </c>
      <c r="Y168" s="72"/>
      <c r="Z168" s="72"/>
      <c r="AA168" s="74" t="str">
        <f aca="false">IFERROR(IF(Y168="","",Y168*Z168),"")</f>
        <v/>
      </c>
      <c r="AB168" s="72"/>
      <c r="AC168" s="72"/>
      <c r="AD168" s="74" t="str">
        <f aca="false">IFERROR(IF(AB168="","",AB168*AC168),"")</f>
        <v/>
      </c>
      <c r="AE168" s="72"/>
      <c r="AF168" s="72"/>
      <c r="AG168" s="74" t="str">
        <f aca="false">IFERROR(IF(AE168="","",AE168*AF168),"")</f>
        <v/>
      </c>
      <c r="AH168" s="72"/>
      <c r="AI168" s="72"/>
      <c r="AJ168" s="74" t="str">
        <f aca="false">IFERROR(IF(AH168="","",AH168*AI168),"")</f>
        <v/>
      </c>
      <c r="AK168" s="72"/>
      <c r="AL168" s="72"/>
      <c r="AM168" s="74" t="str">
        <f aca="false">IFERROR(IF(AK168="","",AK168*AL168),"")</f>
        <v/>
      </c>
      <c r="AN168" s="72"/>
    </row>
    <row r="169" customFormat="false" ht="15.75" hidden="false" customHeight="true" outlineLevel="0" collapsed="false">
      <c r="A169" s="62" t="n">
        <v>162</v>
      </c>
      <c r="B169" s="75"/>
      <c r="C169" s="76"/>
      <c r="D169" s="75"/>
      <c r="E169" s="75"/>
      <c r="F169" s="77" t="str">
        <f aca="false">IFERROR(IF(D169="","",D169*E169),"")</f>
        <v/>
      </c>
      <c r="G169" s="75"/>
      <c r="H169" s="75"/>
      <c r="I169" s="77" t="str">
        <f aca="false">IFERROR(IF(G169="","",G169*H169),"")</f>
        <v/>
      </c>
      <c r="J169" s="75"/>
      <c r="K169" s="75"/>
      <c r="L169" s="77" t="str">
        <f aca="false">IFERROR(IF(J169="","",J169*K169),"")</f>
        <v/>
      </c>
      <c r="M169" s="75"/>
      <c r="N169" s="75"/>
      <c r="O169" s="77" t="str">
        <f aca="false">IFERROR(IF(M169="","",M169*N169),"")</f>
        <v/>
      </c>
      <c r="P169" s="75"/>
      <c r="Q169" s="75"/>
      <c r="R169" s="77" t="str">
        <f aca="false">IFERROR(IF(P169="","",P169*Q169),"")</f>
        <v/>
      </c>
      <c r="S169" s="75"/>
      <c r="T169" s="75"/>
      <c r="U169" s="77" t="str">
        <f aca="false">IFERROR(IF(S169="","",S169*T169),"")</f>
        <v/>
      </c>
      <c r="V169" s="75"/>
      <c r="W169" s="75"/>
      <c r="X169" s="77" t="str">
        <f aca="false">IFERROR(IF(V169="","",V169*W169),"")</f>
        <v/>
      </c>
      <c r="Y169" s="75"/>
      <c r="Z169" s="75"/>
      <c r="AA169" s="77" t="str">
        <f aca="false">IFERROR(IF(Y169="","",Y169*Z169),"")</f>
        <v/>
      </c>
      <c r="AB169" s="75"/>
      <c r="AC169" s="75"/>
      <c r="AD169" s="77" t="str">
        <f aca="false">IFERROR(IF(AB169="","",AB169*AC169),"")</f>
        <v/>
      </c>
      <c r="AE169" s="75"/>
      <c r="AF169" s="75"/>
      <c r="AG169" s="77" t="str">
        <f aca="false">IFERROR(IF(AE169="","",AE169*AF169),"")</f>
        <v/>
      </c>
      <c r="AH169" s="75"/>
      <c r="AI169" s="75"/>
      <c r="AJ169" s="77" t="str">
        <f aca="false">IFERROR(IF(AH169="","",AH169*AI169),"")</f>
        <v/>
      </c>
      <c r="AK169" s="75"/>
      <c r="AL169" s="75"/>
      <c r="AM169" s="77" t="str">
        <f aca="false">IFERROR(IF(AK169="","",AK169*AL169),"")</f>
        <v/>
      </c>
      <c r="AN169" s="75"/>
    </row>
    <row r="170" customFormat="false" ht="15.75" hidden="false" customHeight="true" outlineLevel="0" collapsed="false">
      <c r="A170" s="60" t="n">
        <v>163</v>
      </c>
      <c r="B170" s="72"/>
      <c r="C170" s="73"/>
      <c r="D170" s="72"/>
      <c r="E170" s="72"/>
      <c r="F170" s="74" t="str">
        <f aca="false">IFERROR(IF(D170="","",D170*E170),"")</f>
        <v/>
      </c>
      <c r="G170" s="72"/>
      <c r="H170" s="72"/>
      <c r="I170" s="74" t="str">
        <f aca="false">IFERROR(IF(G170="","",G170*H170),"")</f>
        <v/>
      </c>
      <c r="J170" s="72"/>
      <c r="K170" s="72"/>
      <c r="L170" s="74" t="str">
        <f aca="false">IFERROR(IF(J170="","",J170*K170),"")</f>
        <v/>
      </c>
      <c r="M170" s="72"/>
      <c r="N170" s="72"/>
      <c r="O170" s="74" t="str">
        <f aca="false">IFERROR(IF(M170="","",M170*N170),"")</f>
        <v/>
      </c>
      <c r="P170" s="72"/>
      <c r="Q170" s="72"/>
      <c r="R170" s="74" t="str">
        <f aca="false">IFERROR(IF(P170="","",P170*Q170),"")</f>
        <v/>
      </c>
      <c r="S170" s="72"/>
      <c r="T170" s="72"/>
      <c r="U170" s="74" t="str">
        <f aca="false">IFERROR(IF(S170="","",S170*T170),"")</f>
        <v/>
      </c>
      <c r="V170" s="72"/>
      <c r="W170" s="72"/>
      <c r="X170" s="74" t="str">
        <f aca="false">IFERROR(IF(V170="","",V170*W170),"")</f>
        <v/>
      </c>
      <c r="Y170" s="72"/>
      <c r="Z170" s="72"/>
      <c r="AA170" s="74" t="str">
        <f aca="false">IFERROR(IF(Y170="","",Y170*Z170),"")</f>
        <v/>
      </c>
      <c r="AB170" s="72"/>
      <c r="AC170" s="72"/>
      <c r="AD170" s="74" t="str">
        <f aca="false">IFERROR(IF(AB170="","",AB170*AC170),"")</f>
        <v/>
      </c>
      <c r="AE170" s="72"/>
      <c r="AF170" s="72"/>
      <c r="AG170" s="74" t="str">
        <f aca="false">IFERROR(IF(AE170="","",AE170*AF170),"")</f>
        <v/>
      </c>
      <c r="AH170" s="72"/>
      <c r="AI170" s="72"/>
      <c r="AJ170" s="74" t="str">
        <f aca="false">IFERROR(IF(AH170="","",AH170*AI170),"")</f>
        <v/>
      </c>
      <c r="AK170" s="72"/>
      <c r="AL170" s="72"/>
      <c r="AM170" s="74" t="str">
        <f aca="false">IFERROR(IF(AK170="","",AK170*AL170),"")</f>
        <v/>
      </c>
      <c r="AN170" s="72"/>
    </row>
    <row r="171" customFormat="false" ht="15.75" hidden="false" customHeight="true" outlineLevel="0" collapsed="false">
      <c r="A171" s="62" t="n">
        <v>164</v>
      </c>
      <c r="B171" s="75"/>
      <c r="C171" s="76"/>
      <c r="D171" s="75"/>
      <c r="E171" s="75"/>
      <c r="F171" s="77" t="str">
        <f aca="false">IFERROR(IF(D171="","",D171*E171),"")</f>
        <v/>
      </c>
      <c r="G171" s="75"/>
      <c r="H171" s="75"/>
      <c r="I171" s="77" t="str">
        <f aca="false">IFERROR(IF(G171="","",G171*H171),"")</f>
        <v/>
      </c>
      <c r="J171" s="75"/>
      <c r="K171" s="75"/>
      <c r="L171" s="77" t="str">
        <f aca="false">IFERROR(IF(J171="","",J171*K171),"")</f>
        <v/>
      </c>
      <c r="M171" s="75"/>
      <c r="N171" s="75"/>
      <c r="O171" s="77" t="str">
        <f aca="false">IFERROR(IF(M171="","",M171*N171),"")</f>
        <v/>
      </c>
      <c r="P171" s="75"/>
      <c r="Q171" s="75"/>
      <c r="R171" s="77" t="str">
        <f aca="false">IFERROR(IF(P171="","",P171*Q171),"")</f>
        <v/>
      </c>
      <c r="S171" s="75"/>
      <c r="T171" s="75"/>
      <c r="U171" s="77" t="str">
        <f aca="false">IFERROR(IF(S171="","",S171*T171),"")</f>
        <v/>
      </c>
      <c r="V171" s="75"/>
      <c r="W171" s="75"/>
      <c r="X171" s="77" t="str">
        <f aca="false">IFERROR(IF(V171="","",V171*W171),"")</f>
        <v/>
      </c>
      <c r="Y171" s="75"/>
      <c r="Z171" s="75"/>
      <c r="AA171" s="77" t="str">
        <f aca="false">IFERROR(IF(Y171="","",Y171*Z171),"")</f>
        <v/>
      </c>
      <c r="AB171" s="75"/>
      <c r="AC171" s="75"/>
      <c r="AD171" s="77" t="str">
        <f aca="false">IFERROR(IF(AB171="","",AB171*AC171),"")</f>
        <v/>
      </c>
      <c r="AE171" s="75"/>
      <c r="AF171" s="75"/>
      <c r="AG171" s="77" t="str">
        <f aca="false">IFERROR(IF(AE171="","",AE171*AF171),"")</f>
        <v/>
      </c>
      <c r="AH171" s="75"/>
      <c r="AI171" s="75"/>
      <c r="AJ171" s="77" t="str">
        <f aca="false">IFERROR(IF(AH171="","",AH171*AI171),"")</f>
        <v/>
      </c>
      <c r="AK171" s="75"/>
      <c r="AL171" s="75"/>
      <c r="AM171" s="77" t="str">
        <f aca="false">IFERROR(IF(AK171="","",AK171*AL171),"")</f>
        <v/>
      </c>
      <c r="AN171" s="75"/>
    </row>
    <row r="172" customFormat="false" ht="15.75" hidden="false" customHeight="true" outlineLevel="0" collapsed="false">
      <c r="A172" s="60" t="n">
        <v>165</v>
      </c>
      <c r="B172" s="72"/>
      <c r="C172" s="73"/>
      <c r="D172" s="72"/>
      <c r="E172" s="72"/>
      <c r="F172" s="74" t="str">
        <f aca="false">IFERROR(IF(D172="","",D172*E172),"")</f>
        <v/>
      </c>
      <c r="G172" s="72"/>
      <c r="H172" s="72"/>
      <c r="I172" s="74" t="str">
        <f aca="false">IFERROR(IF(G172="","",G172*H172),"")</f>
        <v/>
      </c>
      <c r="J172" s="72"/>
      <c r="K172" s="72"/>
      <c r="L172" s="74" t="str">
        <f aca="false">IFERROR(IF(J172="","",J172*K172),"")</f>
        <v/>
      </c>
      <c r="M172" s="72"/>
      <c r="N172" s="72"/>
      <c r="O172" s="74" t="str">
        <f aca="false">IFERROR(IF(M172="","",M172*N172),"")</f>
        <v/>
      </c>
      <c r="P172" s="72"/>
      <c r="Q172" s="72"/>
      <c r="R172" s="74" t="str">
        <f aca="false">IFERROR(IF(P172="","",P172*Q172),"")</f>
        <v/>
      </c>
      <c r="S172" s="72"/>
      <c r="T172" s="72"/>
      <c r="U172" s="74" t="str">
        <f aca="false">IFERROR(IF(S172="","",S172*T172),"")</f>
        <v/>
      </c>
      <c r="V172" s="72"/>
      <c r="W172" s="72"/>
      <c r="X172" s="74" t="str">
        <f aca="false">IFERROR(IF(V172="","",V172*W172),"")</f>
        <v/>
      </c>
      <c r="Y172" s="72"/>
      <c r="Z172" s="72"/>
      <c r="AA172" s="74" t="str">
        <f aca="false">IFERROR(IF(Y172="","",Y172*Z172),"")</f>
        <v/>
      </c>
      <c r="AB172" s="72"/>
      <c r="AC172" s="72"/>
      <c r="AD172" s="74" t="str">
        <f aca="false">IFERROR(IF(AB172="","",AB172*AC172),"")</f>
        <v/>
      </c>
      <c r="AE172" s="72"/>
      <c r="AF172" s="72"/>
      <c r="AG172" s="74" t="str">
        <f aca="false">IFERROR(IF(AE172="","",AE172*AF172),"")</f>
        <v/>
      </c>
      <c r="AH172" s="72"/>
      <c r="AI172" s="72"/>
      <c r="AJ172" s="74" t="str">
        <f aca="false">IFERROR(IF(AH172="","",AH172*AI172),"")</f>
        <v/>
      </c>
      <c r="AK172" s="72"/>
      <c r="AL172" s="72"/>
      <c r="AM172" s="74" t="str">
        <f aca="false">IFERROR(IF(AK172="","",AK172*AL172),"")</f>
        <v/>
      </c>
      <c r="AN172" s="72"/>
    </row>
    <row r="173" customFormat="false" ht="15.75" hidden="false" customHeight="true" outlineLevel="0" collapsed="false">
      <c r="A173" s="62" t="n">
        <v>166</v>
      </c>
      <c r="B173" s="75"/>
      <c r="C173" s="76"/>
      <c r="D173" s="75"/>
      <c r="E173" s="75"/>
      <c r="F173" s="77" t="str">
        <f aca="false">IFERROR(IF(D173="","",D173*E173),"")</f>
        <v/>
      </c>
      <c r="G173" s="75"/>
      <c r="H173" s="75"/>
      <c r="I173" s="77" t="str">
        <f aca="false">IFERROR(IF(G173="","",G173*H173),"")</f>
        <v/>
      </c>
      <c r="J173" s="75"/>
      <c r="K173" s="75"/>
      <c r="L173" s="77" t="str">
        <f aca="false">IFERROR(IF(J173="","",J173*K173),"")</f>
        <v/>
      </c>
      <c r="M173" s="75"/>
      <c r="N173" s="75"/>
      <c r="O173" s="77" t="str">
        <f aca="false">IFERROR(IF(M173="","",M173*N173),"")</f>
        <v/>
      </c>
      <c r="P173" s="75"/>
      <c r="Q173" s="75"/>
      <c r="R173" s="77" t="str">
        <f aca="false">IFERROR(IF(P173="","",P173*Q173),"")</f>
        <v/>
      </c>
      <c r="S173" s="75"/>
      <c r="T173" s="75"/>
      <c r="U173" s="77" t="str">
        <f aca="false">IFERROR(IF(S173="","",S173*T173),"")</f>
        <v/>
      </c>
      <c r="V173" s="75"/>
      <c r="W173" s="75"/>
      <c r="X173" s="77" t="str">
        <f aca="false">IFERROR(IF(V173="","",V173*W173),"")</f>
        <v/>
      </c>
      <c r="Y173" s="75"/>
      <c r="Z173" s="75"/>
      <c r="AA173" s="77" t="str">
        <f aca="false">IFERROR(IF(Y173="","",Y173*Z173),"")</f>
        <v/>
      </c>
      <c r="AB173" s="75"/>
      <c r="AC173" s="75"/>
      <c r="AD173" s="77" t="str">
        <f aca="false">IFERROR(IF(AB173="","",AB173*AC173),"")</f>
        <v/>
      </c>
      <c r="AE173" s="75"/>
      <c r="AF173" s="75"/>
      <c r="AG173" s="77" t="str">
        <f aca="false">IFERROR(IF(AE173="","",AE173*AF173),"")</f>
        <v/>
      </c>
      <c r="AH173" s="75"/>
      <c r="AI173" s="75"/>
      <c r="AJ173" s="77" t="str">
        <f aca="false">IFERROR(IF(AH173="","",AH173*AI173),"")</f>
        <v/>
      </c>
      <c r="AK173" s="75"/>
      <c r="AL173" s="75"/>
      <c r="AM173" s="77" t="str">
        <f aca="false">IFERROR(IF(AK173="","",AK173*AL173),"")</f>
        <v/>
      </c>
      <c r="AN173" s="75"/>
    </row>
    <row r="174" customFormat="false" ht="15.75" hidden="false" customHeight="true" outlineLevel="0" collapsed="false">
      <c r="A174" s="60" t="n">
        <v>167</v>
      </c>
      <c r="B174" s="72"/>
      <c r="C174" s="73"/>
      <c r="D174" s="72"/>
      <c r="E174" s="72"/>
      <c r="F174" s="74" t="str">
        <f aca="false">IFERROR(IF(D174="","",D174*E174),"")</f>
        <v/>
      </c>
      <c r="G174" s="72"/>
      <c r="H174" s="72"/>
      <c r="I174" s="74" t="str">
        <f aca="false">IFERROR(IF(G174="","",G174*H174),"")</f>
        <v/>
      </c>
      <c r="J174" s="72"/>
      <c r="K174" s="72"/>
      <c r="L174" s="74" t="str">
        <f aca="false">IFERROR(IF(J174="","",J174*K174),"")</f>
        <v/>
      </c>
      <c r="M174" s="72"/>
      <c r="N174" s="72"/>
      <c r="O174" s="74" t="str">
        <f aca="false">IFERROR(IF(M174="","",M174*N174),"")</f>
        <v/>
      </c>
      <c r="P174" s="72"/>
      <c r="Q174" s="72"/>
      <c r="R174" s="74" t="str">
        <f aca="false">IFERROR(IF(P174="","",P174*Q174),"")</f>
        <v/>
      </c>
      <c r="S174" s="72"/>
      <c r="T174" s="72"/>
      <c r="U174" s="74" t="str">
        <f aca="false">IFERROR(IF(S174="","",S174*T174),"")</f>
        <v/>
      </c>
      <c r="V174" s="72"/>
      <c r="W174" s="72"/>
      <c r="X174" s="74" t="str">
        <f aca="false">IFERROR(IF(V174="","",V174*W174),"")</f>
        <v/>
      </c>
      <c r="Y174" s="72"/>
      <c r="Z174" s="72"/>
      <c r="AA174" s="74" t="str">
        <f aca="false">IFERROR(IF(Y174="","",Y174*Z174),"")</f>
        <v/>
      </c>
      <c r="AB174" s="72"/>
      <c r="AC174" s="72"/>
      <c r="AD174" s="74" t="str">
        <f aca="false">IFERROR(IF(AB174="","",AB174*AC174),"")</f>
        <v/>
      </c>
      <c r="AE174" s="72"/>
      <c r="AF174" s="72"/>
      <c r="AG174" s="74" t="str">
        <f aca="false">IFERROR(IF(AE174="","",AE174*AF174),"")</f>
        <v/>
      </c>
      <c r="AH174" s="72"/>
      <c r="AI174" s="72"/>
      <c r="AJ174" s="74" t="str">
        <f aca="false">IFERROR(IF(AH174="","",AH174*AI174),"")</f>
        <v/>
      </c>
      <c r="AK174" s="72"/>
      <c r="AL174" s="72"/>
      <c r="AM174" s="74" t="str">
        <f aca="false">IFERROR(IF(AK174="","",AK174*AL174),"")</f>
        <v/>
      </c>
      <c r="AN174" s="72"/>
    </row>
    <row r="175" customFormat="false" ht="15.75" hidden="false" customHeight="true" outlineLevel="0" collapsed="false">
      <c r="A175" s="62" t="n">
        <v>168</v>
      </c>
      <c r="B175" s="75"/>
      <c r="C175" s="76"/>
      <c r="D175" s="75"/>
      <c r="E175" s="75"/>
      <c r="F175" s="77" t="str">
        <f aca="false">IFERROR(IF(D175="","",D175*E175),"")</f>
        <v/>
      </c>
      <c r="G175" s="75"/>
      <c r="H175" s="75"/>
      <c r="I175" s="77" t="str">
        <f aca="false">IFERROR(IF(G175="","",G175*H175),"")</f>
        <v/>
      </c>
      <c r="J175" s="75"/>
      <c r="K175" s="75"/>
      <c r="L175" s="77" t="str">
        <f aca="false">IFERROR(IF(J175="","",J175*K175),"")</f>
        <v/>
      </c>
      <c r="M175" s="75"/>
      <c r="N175" s="75"/>
      <c r="O175" s="77" t="str">
        <f aca="false">IFERROR(IF(M175="","",M175*N175),"")</f>
        <v/>
      </c>
      <c r="P175" s="75"/>
      <c r="Q175" s="75"/>
      <c r="R175" s="77" t="str">
        <f aca="false">IFERROR(IF(P175="","",P175*Q175),"")</f>
        <v/>
      </c>
      <c r="S175" s="75"/>
      <c r="T175" s="75"/>
      <c r="U175" s="77" t="str">
        <f aca="false">IFERROR(IF(S175="","",S175*T175),"")</f>
        <v/>
      </c>
      <c r="V175" s="75"/>
      <c r="W175" s="75"/>
      <c r="X175" s="77" t="str">
        <f aca="false">IFERROR(IF(V175="","",V175*W175),"")</f>
        <v/>
      </c>
      <c r="Y175" s="75"/>
      <c r="Z175" s="75"/>
      <c r="AA175" s="77" t="str">
        <f aca="false">IFERROR(IF(Y175="","",Y175*Z175),"")</f>
        <v/>
      </c>
      <c r="AB175" s="75"/>
      <c r="AC175" s="75"/>
      <c r="AD175" s="77" t="str">
        <f aca="false">IFERROR(IF(AB175="","",AB175*AC175),"")</f>
        <v/>
      </c>
      <c r="AE175" s="75"/>
      <c r="AF175" s="75"/>
      <c r="AG175" s="77" t="str">
        <f aca="false">IFERROR(IF(AE175="","",AE175*AF175),"")</f>
        <v/>
      </c>
      <c r="AH175" s="75"/>
      <c r="AI175" s="75"/>
      <c r="AJ175" s="77" t="str">
        <f aca="false">IFERROR(IF(AH175="","",AH175*AI175),"")</f>
        <v/>
      </c>
      <c r="AK175" s="75"/>
      <c r="AL175" s="75"/>
      <c r="AM175" s="77" t="str">
        <f aca="false">IFERROR(IF(AK175="","",AK175*AL175),"")</f>
        <v/>
      </c>
      <c r="AN175" s="75"/>
    </row>
    <row r="176" customFormat="false" ht="15.75" hidden="false" customHeight="true" outlineLevel="0" collapsed="false">
      <c r="A176" s="60" t="n">
        <v>169</v>
      </c>
      <c r="B176" s="72"/>
      <c r="C176" s="73"/>
      <c r="D176" s="72"/>
      <c r="E176" s="72"/>
      <c r="F176" s="74" t="str">
        <f aca="false">IFERROR(IF(D176="","",D176*E176),"")</f>
        <v/>
      </c>
      <c r="G176" s="72"/>
      <c r="H176" s="72"/>
      <c r="I176" s="74" t="str">
        <f aca="false">IFERROR(IF(G176="","",G176*H176),"")</f>
        <v/>
      </c>
      <c r="J176" s="72"/>
      <c r="K176" s="72"/>
      <c r="L176" s="74" t="str">
        <f aca="false">IFERROR(IF(J176="","",J176*K176),"")</f>
        <v/>
      </c>
      <c r="M176" s="72"/>
      <c r="N176" s="72"/>
      <c r="O176" s="74" t="str">
        <f aca="false">IFERROR(IF(M176="","",M176*N176),"")</f>
        <v/>
      </c>
      <c r="P176" s="72"/>
      <c r="Q176" s="72"/>
      <c r="R176" s="74" t="str">
        <f aca="false">IFERROR(IF(P176="","",P176*Q176),"")</f>
        <v/>
      </c>
      <c r="S176" s="72"/>
      <c r="T176" s="72"/>
      <c r="U176" s="74" t="str">
        <f aca="false">IFERROR(IF(S176="","",S176*T176),"")</f>
        <v/>
      </c>
      <c r="V176" s="72"/>
      <c r="W176" s="72"/>
      <c r="X176" s="74" t="str">
        <f aca="false">IFERROR(IF(V176="","",V176*W176),"")</f>
        <v/>
      </c>
      <c r="Y176" s="72"/>
      <c r="Z176" s="72"/>
      <c r="AA176" s="74" t="str">
        <f aca="false">IFERROR(IF(Y176="","",Y176*Z176),"")</f>
        <v/>
      </c>
      <c r="AB176" s="72"/>
      <c r="AC176" s="72"/>
      <c r="AD176" s="74" t="str">
        <f aca="false">IFERROR(IF(AB176="","",AB176*AC176),"")</f>
        <v/>
      </c>
      <c r="AE176" s="72"/>
      <c r="AF176" s="72"/>
      <c r="AG176" s="74" t="str">
        <f aca="false">IFERROR(IF(AE176="","",AE176*AF176),"")</f>
        <v/>
      </c>
      <c r="AH176" s="72"/>
      <c r="AI176" s="72"/>
      <c r="AJ176" s="74" t="str">
        <f aca="false">IFERROR(IF(AH176="","",AH176*AI176),"")</f>
        <v/>
      </c>
      <c r="AK176" s="72"/>
      <c r="AL176" s="72"/>
      <c r="AM176" s="74" t="str">
        <f aca="false">IFERROR(IF(AK176="","",AK176*AL176),"")</f>
        <v/>
      </c>
      <c r="AN176" s="72"/>
    </row>
    <row r="177" customFormat="false" ht="15.75" hidden="false" customHeight="true" outlineLevel="0" collapsed="false">
      <c r="A177" s="62" t="n">
        <v>170</v>
      </c>
      <c r="B177" s="75"/>
      <c r="C177" s="76"/>
      <c r="D177" s="75"/>
      <c r="E177" s="75"/>
      <c r="F177" s="77" t="str">
        <f aca="false">IFERROR(IF(D177="","",D177*E177),"")</f>
        <v/>
      </c>
      <c r="G177" s="75"/>
      <c r="H177" s="75"/>
      <c r="I177" s="77" t="str">
        <f aca="false">IFERROR(IF(G177="","",G177*H177),"")</f>
        <v/>
      </c>
      <c r="J177" s="75"/>
      <c r="K177" s="75"/>
      <c r="L177" s="77" t="str">
        <f aca="false">IFERROR(IF(J177="","",J177*K177),"")</f>
        <v/>
      </c>
      <c r="M177" s="75"/>
      <c r="N177" s="75"/>
      <c r="O177" s="77" t="str">
        <f aca="false">IFERROR(IF(M177="","",M177*N177),"")</f>
        <v/>
      </c>
      <c r="P177" s="75"/>
      <c r="Q177" s="75"/>
      <c r="R177" s="77" t="str">
        <f aca="false">IFERROR(IF(P177="","",P177*Q177),"")</f>
        <v/>
      </c>
      <c r="S177" s="75"/>
      <c r="T177" s="75"/>
      <c r="U177" s="77" t="str">
        <f aca="false">IFERROR(IF(S177="","",S177*T177),"")</f>
        <v/>
      </c>
      <c r="V177" s="75"/>
      <c r="W177" s="75"/>
      <c r="X177" s="77" t="str">
        <f aca="false">IFERROR(IF(V177="","",V177*W177),"")</f>
        <v/>
      </c>
      <c r="Y177" s="75"/>
      <c r="Z177" s="75"/>
      <c r="AA177" s="77" t="str">
        <f aca="false">IFERROR(IF(Y177="","",Y177*Z177),"")</f>
        <v/>
      </c>
      <c r="AB177" s="75"/>
      <c r="AC177" s="75"/>
      <c r="AD177" s="77" t="str">
        <f aca="false">IFERROR(IF(AB177="","",AB177*AC177),"")</f>
        <v/>
      </c>
      <c r="AE177" s="75"/>
      <c r="AF177" s="75"/>
      <c r="AG177" s="77" t="str">
        <f aca="false">IFERROR(IF(AE177="","",AE177*AF177),"")</f>
        <v/>
      </c>
      <c r="AH177" s="75"/>
      <c r="AI177" s="75"/>
      <c r="AJ177" s="77" t="str">
        <f aca="false">IFERROR(IF(AH177="","",AH177*AI177),"")</f>
        <v/>
      </c>
      <c r="AK177" s="75"/>
      <c r="AL177" s="75"/>
      <c r="AM177" s="77" t="str">
        <f aca="false">IFERROR(IF(AK177="","",AK177*AL177),"")</f>
        <v/>
      </c>
      <c r="AN177" s="75"/>
    </row>
    <row r="178" customFormat="false" ht="15.75" hidden="false" customHeight="true" outlineLevel="0" collapsed="false">
      <c r="A178" s="60" t="n">
        <v>171</v>
      </c>
      <c r="B178" s="72"/>
      <c r="C178" s="73"/>
      <c r="D178" s="72"/>
      <c r="E178" s="72"/>
      <c r="F178" s="74" t="str">
        <f aca="false">IFERROR(IF(D178="","",D178*E178),"")</f>
        <v/>
      </c>
      <c r="G178" s="72"/>
      <c r="H178" s="72"/>
      <c r="I178" s="74" t="str">
        <f aca="false">IFERROR(IF(G178="","",G178*H178),"")</f>
        <v/>
      </c>
      <c r="J178" s="72"/>
      <c r="K178" s="72"/>
      <c r="L178" s="74" t="str">
        <f aca="false">IFERROR(IF(J178="","",J178*K178),"")</f>
        <v/>
      </c>
      <c r="M178" s="72"/>
      <c r="N178" s="72"/>
      <c r="O178" s="74" t="str">
        <f aca="false">IFERROR(IF(M178="","",M178*N178),"")</f>
        <v/>
      </c>
      <c r="P178" s="72"/>
      <c r="Q178" s="72"/>
      <c r="R178" s="74" t="str">
        <f aca="false">IFERROR(IF(P178="","",P178*Q178),"")</f>
        <v/>
      </c>
      <c r="S178" s="72"/>
      <c r="T178" s="72"/>
      <c r="U178" s="74" t="str">
        <f aca="false">IFERROR(IF(S178="","",S178*T178),"")</f>
        <v/>
      </c>
      <c r="V178" s="72"/>
      <c r="W178" s="72"/>
      <c r="X178" s="74" t="str">
        <f aca="false">IFERROR(IF(V178="","",V178*W178),"")</f>
        <v/>
      </c>
      <c r="Y178" s="72"/>
      <c r="Z178" s="72"/>
      <c r="AA178" s="74" t="str">
        <f aca="false">IFERROR(IF(Y178="","",Y178*Z178),"")</f>
        <v/>
      </c>
      <c r="AB178" s="72"/>
      <c r="AC178" s="72"/>
      <c r="AD178" s="74" t="str">
        <f aca="false">IFERROR(IF(AB178="","",AB178*AC178),"")</f>
        <v/>
      </c>
      <c r="AE178" s="72"/>
      <c r="AF178" s="72"/>
      <c r="AG178" s="74" t="str">
        <f aca="false">IFERROR(IF(AE178="","",AE178*AF178),"")</f>
        <v/>
      </c>
      <c r="AH178" s="72"/>
      <c r="AI178" s="72"/>
      <c r="AJ178" s="74" t="str">
        <f aca="false">IFERROR(IF(AH178="","",AH178*AI178),"")</f>
        <v/>
      </c>
      <c r="AK178" s="72"/>
      <c r="AL178" s="72"/>
      <c r="AM178" s="74" t="str">
        <f aca="false">IFERROR(IF(AK178="","",AK178*AL178),"")</f>
        <v/>
      </c>
      <c r="AN178" s="72"/>
    </row>
    <row r="179" customFormat="false" ht="15.75" hidden="false" customHeight="true" outlineLevel="0" collapsed="false">
      <c r="A179" s="62" t="n">
        <v>172</v>
      </c>
      <c r="B179" s="75"/>
      <c r="C179" s="76"/>
      <c r="D179" s="75"/>
      <c r="E179" s="75"/>
      <c r="F179" s="77" t="str">
        <f aca="false">IFERROR(IF(D179="","",D179*E179),"")</f>
        <v/>
      </c>
      <c r="G179" s="75"/>
      <c r="H179" s="75"/>
      <c r="I179" s="77" t="str">
        <f aca="false">IFERROR(IF(G179="","",G179*H179),"")</f>
        <v/>
      </c>
      <c r="J179" s="75"/>
      <c r="K179" s="75"/>
      <c r="L179" s="77" t="str">
        <f aca="false">IFERROR(IF(J179="","",J179*K179),"")</f>
        <v/>
      </c>
      <c r="M179" s="75"/>
      <c r="N179" s="75"/>
      <c r="O179" s="77" t="str">
        <f aca="false">IFERROR(IF(M179="","",M179*N179),"")</f>
        <v/>
      </c>
      <c r="P179" s="75"/>
      <c r="Q179" s="75"/>
      <c r="R179" s="77" t="str">
        <f aca="false">IFERROR(IF(P179="","",P179*Q179),"")</f>
        <v/>
      </c>
      <c r="S179" s="75"/>
      <c r="T179" s="75"/>
      <c r="U179" s="77" t="str">
        <f aca="false">IFERROR(IF(S179="","",S179*T179),"")</f>
        <v/>
      </c>
      <c r="V179" s="75"/>
      <c r="W179" s="75"/>
      <c r="X179" s="77" t="str">
        <f aca="false">IFERROR(IF(V179="","",V179*W179),"")</f>
        <v/>
      </c>
      <c r="Y179" s="75"/>
      <c r="Z179" s="75"/>
      <c r="AA179" s="77" t="str">
        <f aca="false">IFERROR(IF(Y179="","",Y179*Z179),"")</f>
        <v/>
      </c>
      <c r="AB179" s="75"/>
      <c r="AC179" s="75"/>
      <c r="AD179" s="77" t="str">
        <f aca="false">IFERROR(IF(AB179="","",AB179*AC179),"")</f>
        <v/>
      </c>
      <c r="AE179" s="75"/>
      <c r="AF179" s="75"/>
      <c r="AG179" s="77" t="str">
        <f aca="false">IFERROR(IF(AE179="","",AE179*AF179),"")</f>
        <v/>
      </c>
      <c r="AH179" s="75"/>
      <c r="AI179" s="75"/>
      <c r="AJ179" s="77" t="str">
        <f aca="false">IFERROR(IF(AH179="","",AH179*AI179),"")</f>
        <v/>
      </c>
      <c r="AK179" s="75"/>
      <c r="AL179" s="75"/>
      <c r="AM179" s="77" t="str">
        <f aca="false">IFERROR(IF(AK179="","",AK179*AL179),"")</f>
        <v/>
      </c>
      <c r="AN179" s="75"/>
    </row>
    <row r="180" customFormat="false" ht="15.75" hidden="false" customHeight="true" outlineLevel="0" collapsed="false">
      <c r="A180" s="60" t="n">
        <v>173</v>
      </c>
      <c r="B180" s="72"/>
      <c r="C180" s="73"/>
      <c r="D180" s="72"/>
      <c r="E180" s="72"/>
      <c r="F180" s="74" t="str">
        <f aca="false">IFERROR(IF(D180="","",D180*E180),"")</f>
        <v/>
      </c>
      <c r="G180" s="72"/>
      <c r="H180" s="72"/>
      <c r="I180" s="74" t="str">
        <f aca="false">IFERROR(IF(G180="","",G180*H180),"")</f>
        <v/>
      </c>
      <c r="J180" s="72"/>
      <c r="K180" s="72"/>
      <c r="L180" s="74" t="str">
        <f aca="false">IFERROR(IF(J180="","",J180*K180),"")</f>
        <v/>
      </c>
      <c r="M180" s="72"/>
      <c r="N180" s="72"/>
      <c r="O180" s="74" t="str">
        <f aca="false">IFERROR(IF(M180="","",M180*N180),"")</f>
        <v/>
      </c>
      <c r="P180" s="72"/>
      <c r="Q180" s="72"/>
      <c r="R180" s="74" t="str">
        <f aca="false">IFERROR(IF(P180="","",P180*Q180),"")</f>
        <v/>
      </c>
      <c r="S180" s="72"/>
      <c r="T180" s="72"/>
      <c r="U180" s="74" t="str">
        <f aca="false">IFERROR(IF(S180="","",S180*T180),"")</f>
        <v/>
      </c>
      <c r="V180" s="72"/>
      <c r="W180" s="72"/>
      <c r="X180" s="74" t="str">
        <f aca="false">IFERROR(IF(V180="","",V180*W180),"")</f>
        <v/>
      </c>
      <c r="Y180" s="72"/>
      <c r="Z180" s="72"/>
      <c r="AA180" s="74" t="str">
        <f aca="false">IFERROR(IF(Y180="","",Y180*Z180),"")</f>
        <v/>
      </c>
      <c r="AB180" s="72"/>
      <c r="AC180" s="72"/>
      <c r="AD180" s="74" t="str">
        <f aca="false">IFERROR(IF(AB180="","",AB180*AC180),"")</f>
        <v/>
      </c>
      <c r="AE180" s="72"/>
      <c r="AF180" s="72"/>
      <c r="AG180" s="74" t="str">
        <f aca="false">IFERROR(IF(AE180="","",AE180*AF180),"")</f>
        <v/>
      </c>
      <c r="AH180" s="72"/>
      <c r="AI180" s="72"/>
      <c r="AJ180" s="74" t="str">
        <f aca="false">IFERROR(IF(AH180="","",AH180*AI180),"")</f>
        <v/>
      </c>
      <c r="AK180" s="72"/>
      <c r="AL180" s="72"/>
      <c r="AM180" s="74" t="str">
        <f aca="false">IFERROR(IF(AK180="","",AK180*AL180),"")</f>
        <v/>
      </c>
      <c r="AN180" s="72"/>
    </row>
    <row r="181" customFormat="false" ht="15.75" hidden="false" customHeight="true" outlineLevel="0" collapsed="false">
      <c r="A181" s="62" t="n">
        <v>174</v>
      </c>
      <c r="B181" s="75"/>
      <c r="C181" s="76"/>
      <c r="D181" s="75"/>
      <c r="E181" s="75"/>
      <c r="F181" s="77" t="str">
        <f aca="false">IFERROR(IF(D181="","",D181*E181),"")</f>
        <v/>
      </c>
      <c r="G181" s="75"/>
      <c r="H181" s="75"/>
      <c r="I181" s="77" t="str">
        <f aca="false">IFERROR(IF(G181="","",G181*H181),"")</f>
        <v/>
      </c>
      <c r="J181" s="75"/>
      <c r="K181" s="75"/>
      <c r="L181" s="77" t="str">
        <f aca="false">IFERROR(IF(J181="","",J181*K181),"")</f>
        <v/>
      </c>
      <c r="M181" s="75"/>
      <c r="N181" s="75"/>
      <c r="O181" s="77" t="str">
        <f aca="false">IFERROR(IF(M181="","",M181*N181),"")</f>
        <v/>
      </c>
      <c r="P181" s="75"/>
      <c r="Q181" s="75"/>
      <c r="R181" s="77" t="str">
        <f aca="false">IFERROR(IF(P181="","",P181*Q181),"")</f>
        <v/>
      </c>
      <c r="S181" s="75"/>
      <c r="T181" s="75"/>
      <c r="U181" s="77" t="str">
        <f aca="false">IFERROR(IF(S181="","",S181*T181),"")</f>
        <v/>
      </c>
      <c r="V181" s="75"/>
      <c r="W181" s="75"/>
      <c r="X181" s="77" t="str">
        <f aca="false">IFERROR(IF(V181="","",V181*W181),"")</f>
        <v/>
      </c>
      <c r="Y181" s="75"/>
      <c r="Z181" s="75"/>
      <c r="AA181" s="77" t="str">
        <f aca="false">IFERROR(IF(Y181="","",Y181*Z181),"")</f>
        <v/>
      </c>
      <c r="AB181" s="75"/>
      <c r="AC181" s="75"/>
      <c r="AD181" s="77" t="str">
        <f aca="false">IFERROR(IF(AB181="","",AB181*AC181),"")</f>
        <v/>
      </c>
      <c r="AE181" s="75"/>
      <c r="AF181" s="75"/>
      <c r="AG181" s="77" t="str">
        <f aca="false">IFERROR(IF(AE181="","",AE181*AF181),"")</f>
        <v/>
      </c>
      <c r="AH181" s="75"/>
      <c r="AI181" s="75"/>
      <c r="AJ181" s="77" t="str">
        <f aca="false">IFERROR(IF(AH181="","",AH181*AI181),"")</f>
        <v/>
      </c>
      <c r="AK181" s="75"/>
      <c r="AL181" s="75"/>
      <c r="AM181" s="77" t="str">
        <f aca="false">IFERROR(IF(AK181="","",AK181*AL181),"")</f>
        <v/>
      </c>
      <c r="AN181" s="75"/>
    </row>
    <row r="182" customFormat="false" ht="15.75" hidden="false" customHeight="true" outlineLevel="0" collapsed="false">
      <c r="A182" s="60" t="n">
        <v>175</v>
      </c>
      <c r="B182" s="72"/>
      <c r="C182" s="73"/>
      <c r="D182" s="72"/>
      <c r="E182" s="72"/>
      <c r="F182" s="74" t="str">
        <f aca="false">IFERROR(IF(D182="","",D182*E182),"")</f>
        <v/>
      </c>
      <c r="G182" s="72"/>
      <c r="H182" s="72"/>
      <c r="I182" s="74" t="str">
        <f aca="false">IFERROR(IF(G182="","",G182*H182),"")</f>
        <v/>
      </c>
      <c r="J182" s="72"/>
      <c r="K182" s="72"/>
      <c r="L182" s="74" t="str">
        <f aca="false">IFERROR(IF(J182="","",J182*K182),"")</f>
        <v/>
      </c>
      <c r="M182" s="72"/>
      <c r="N182" s="72"/>
      <c r="O182" s="74" t="str">
        <f aca="false">IFERROR(IF(M182="","",M182*N182),"")</f>
        <v/>
      </c>
      <c r="P182" s="72"/>
      <c r="Q182" s="72"/>
      <c r="R182" s="74" t="str">
        <f aca="false">IFERROR(IF(P182="","",P182*Q182),"")</f>
        <v/>
      </c>
      <c r="S182" s="72"/>
      <c r="T182" s="72"/>
      <c r="U182" s="74" t="str">
        <f aca="false">IFERROR(IF(S182="","",S182*T182),"")</f>
        <v/>
      </c>
      <c r="V182" s="72"/>
      <c r="W182" s="72"/>
      <c r="X182" s="74" t="str">
        <f aca="false">IFERROR(IF(V182="","",V182*W182),"")</f>
        <v/>
      </c>
      <c r="Y182" s="72"/>
      <c r="Z182" s="72"/>
      <c r="AA182" s="74" t="str">
        <f aca="false">IFERROR(IF(Y182="","",Y182*Z182),"")</f>
        <v/>
      </c>
      <c r="AB182" s="72"/>
      <c r="AC182" s="72"/>
      <c r="AD182" s="74" t="str">
        <f aca="false">IFERROR(IF(AB182="","",AB182*AC182),"")</f>
        <v/>
      </c>
      <c r="AE182" s="72"/>
      <c r="AF182" s="72"/>
      <c r="AG182" s="74" t="str">
        <f aca="false">IFERROR(IF(AE182="","",AE182*AF182),"")</f>
        <v/>
      </c>
      <c r="AH182" s="72"/>
      <c r="AI182" s="72"/>
      <c r="AJ182" s="74" t="str">
        <f aca="false">IFERROR(IF(AH182="","",AH182*AI182),"")</f>
        <v/>
      </c>
      <c r="AK182" s="72"/>
      <c r="AL182" s="72"/>
      <c r="AM182" s="74" t="str">
        <f aca="false">IFERROR(IF(AK182="","",AK182*AL182),"")</f>
        <v/>
      </c>
      <c r="AN182" s="72"/>
    </row>
    <row r="183" customFormat="false" ht="15.75" hidden="false" customHeight="true" outlineLevel="0" collapsed="false">
      <c r="A183" s="62" t="n">
        <v>176</v>
      </c>
      <c r="B183" s="75"/>
      <c r="C183" s="76"/>
      <c r="D183" s="75"/>
      <c r="E183" s="75"/>
      <c r="F183" s="77" t="str">
        <f aca="false">IFERROR(IF(D183="","",D183*E183),"")</f>
        <v/>
      </c>
      <c r="G183" s="75"/>
      <c r="H183" s="75"/>
      <c r="I183" s="77" t="str">
        <f aca="false">IFERROR(IF(G183="","",G183*H183),"")</f>
        <v/>
      </c>
      <c r="J183" s="75"/>
      <c r="K183" s="75"/>
      <c r="L183" s="77" t="str">
        <f aca="false">IFERROR(IF(J183="","",J183*K183),"")</f>
        <v/>
      </c>
      <c r="M183" s="75"/>
      <c r="N183" s="75"/>
      <c r="O183" s="77" t="str">
        <f aca="false">IFERROR(IF(M183="","",M183*N183),"")</f>
        <v/>
      </c>
      <c r="P183" s="75"/>
      <c r="Q183" s="75"/>
      <c r="R183" s="77" t="str">
        <f aca="false">IFERROR(IF(P183="","",P183*Q183),"")</f>
        <v/>
      </c>
      <c r="S183" s="75"/>
      <c r="T183" s="75"/>
      <c r="U183" s="77" t="str">
        <f aca="false">IFERROR(IF(S183="","",S183*T183),"")</f>
        <v/>
      </c>
      <c r="V183" s="75"/>
      <c r="W183" s="75"/>
      <c r="X183" s="77" t="str">
        <f aca="false">IFERROR(IF(V183="","",V183*W183),"")</f>
        <v/>
      </c>
      <c r="Y183" s="75"/>
      <c r="Z183" s="75"/>
      <c r="AA183" s="77" t="str">
        <f aca="false">IFERROR(IF(Y183="","",Y183*Z183),"")</f>
        <v/>
      </c>
      <c r="AB183" s="75"/>
      <c r="AC183" s="75"/>
      <c r="AD183" s="77" t="str">
        <f aca="false">IFERROR(IF(AB183="","",AB183*AC183),"")</f>
        <v/>
      </c>
      <c r="AE183" s="75"/>
      <c r="AF183" s="75"/>
      <c r="AG183" s="77" t="str">
        <f aca="false">IFERROR(IF(AE183="","",AE183*AF183),"")</f>
        <v/>
      </c>
      <c r="AH183" s="75"/>
      <c r="AI183" s="75"/>
      <c r="AJ183" s="77" t="str">
        <f aca="false">IFERROR(IF(AH183="","",AH183*AI183),"")</f>
        <v/>
      </c>
      <c r="AK183" s="75"/>
      <c r="AL183" s="75"/>
      <c r="AM183" s="77" t="str">
        <f aca="false">IFERROR(IF(AK183="","",AK183*AL183),"")</f>
        <v/>
      </c>
      <c r="AN183" s="75"/>
    </row>
    <row r="184" customFormat="false" ht="15.75" hidden="false" customHeight="true" outlineLevel="0" collapsed="false">
      <c r="A184" s="60" t="n">
        <v>177</v>
      </c>
      <c r="B184" s="72"/>
      <c r="C184" s="73"/>
      <c r="D184" s="72"/>
      <c r="E184" s="72"/>
      <c r="F184" s="74" t="str">
        <f aca="false">IFERROR(IF(D184="","",D184*E184),"")</f>
        <v/>
      </c>
      <c r="G184" s="72"/>
      <c r="H184" s="72"/>
      <c r="I184" s="74" t="str">
        <f aca="false">IFERROR(IF(G184="","",G184*H184),"")</f>
        <v/>
      </c>
      <c r="J184" s="72"/>
      <c r="K184" s="72"/>
      <c r="L184" s="74" t="str">
        <f aca="false">IFERROR(IF(J184="","",J184*K184),"")</f>
        <v/>
      </c>
      <c r="M184" s="72"/>
      <c r="N184" s="72"/>
      <c r="O184" s="74" t="str">
        <f aca="false">IFERROR(IF(M184="","",M184*N184),"")</f>
        <v/>
      </c>
      <c r="P184" s="72"/>
      <c r="Q184" s="72"/>
      <c r="R184" s="74" t="str">
        <f aca="false">IFERROR(IF(P184="","",P184*Q184),"")</f>
        <v/>
      </c>
      <c r="S184" s="72"/>
      <c r="T184" s="72"/>
      <c r="U184" s="74" t="str">
        <f aca="false">IFERROR(IF(S184="","",S184*T184),"")</f>
        <v/>
      </c>
      <c r="V184" s="72"/>
      <c r="W184" s="72"/>
      <c r="X184" s="74" t="str">
        <f aca="false">IFERROR(IF(V184="","",V184*W184),"")</f>
        <v/>
      </c>
      <c r="Y184" s="72"/>
      <c r="Z184" s="72"/>
      <c r="AA184" s="74" t="str">
        <f aca="false">IFERROR(IF(Y184="","",Y184*Z184),"")</f>
        <v/>
      </c>
      <c r="AB184" s="72"/>
      <c r="AC184" s="72"/>
      <c r="AD184" s="74" t="str">
        <f aca="false">IFERROR(IF(AB184="","",AB184*AC184),"")</f>
        <v/>
      </c>
      <c r="AE184" s="72"/>
      <c r="AF184" s="72"/>
      <c r="AG184" s="74" t="str">
        <f aca="false">IFERROR(IF(AE184="","",AE184*AF184),"")</f>
        <v/>
      </c>
      <c r="AH184" s="72"/>
      <c r="AI184" s="72"/>
      <c r="AJ184" s="74" t="str">
        <f aca="false">IFERROR(IF(AH184="","",AH184*AI184),"")</f>
        <v/>
      </c>
      <c r="AK184" s="72"/>
      <c r="AL184" s="72"/>
      <c r="AM184" s="74" t="str">
        <f aca="false">IFERROR(IF(AK184="","",AK184*AL184),"")</f>
        <v/>
      </c>
      <c r="AN184" s="72"/>
    </row>
    <row r="185" customFormat="false" ht="15.75" hidden="false" customHeight="true" outlineLevel="0" collapsed="false">
      <c r="A185" s="62" t="n">
        <v>178</v>
      </c>
      <c r="B185" s="75"/>
      <c r="C185" s="76"/>
      <c r="D185" s="75"/>
      <c r="E185" s="75"/>
      <c r="F185" s="77" t="str">
        <f aca="false">IFERROR(IF(D185="","",D185*E185),"")</f>
        <v/>
      </c>
      <c r="G185" s="75"/>
      <c r="H185" s="75"/>
      <c r="I185" s="77" t="str">
        <f aca="false">IFERROR(IF(G185="","",G185*H185),"")</f>
        <v/>
      </c>
      <c r="J185" s="75"/>
      <c r="K185" s="75"/>
      <c r="L185" s="77" t="str">
        <f aca="false">IFERROR(IF(J185="","",J185*K185),"")</f>
        <v/>
      </c>
      <c r="M185" s="75"/>
      <c r="N185" s="75"/>
      <c r="O185" s="77" t="str">
        <f aca="false">IFERROR(IF(M185="","",M185*N185),"")</f>
        <v/>
      </c>
      <c r="P185" s="75"/>
      <c r="Q185" s="75"/>
      <c r="R185" s="77" t="str">
        <f aca="false">IFERROR(IF(P185="","",P185*Q185),"")</f>
        <v/>
      </c>
      <c r="S185" s="75"/>
      <c r="T185" s="75"/>
      <c r="U185" s="77" t="str">
        <f aca="false">IFERROR(IF(S185="","",S185*T185),"")</f>
        <v/>
      </c>
      <c r="V185" s="75"/>
      <c r="W185" s="75"/>
      <c r="X185" s="77" t="str">
        <f aca="false">IFERROR(IF(V185="","",V185*W185),"")</f>
        <v/>
      </c>
      <c r="Y185" s="75"/>
      <c r="Z185" s="75"/>
      <c r="AA185" s="77" t="str">
        <f aca="false">IFERROR(IF(Y185="","",Y185*Z185),"")</f>
        <v/>
      </c>
      <c r="AB185" s="75"/>
      <c r="AC185" s="75"/>
      <c r="AD185" s="77" t="str">
        <f aca="false">IFERROR(IF(AB185="","",AB185*AC185),"")</f>
        <v/>
      </c>
      <c r="AE185" s="75"/>
      <c r="AF185" s="75"/>
      <c r="AG185" s="77" t="str">
        <f aca="false">IFERROR(IF(AE185="","",AE185*AF185),"")</f>
        <v/>
      </c>
      <c r="AH185" s="75"/>
      <c r="AI185" s="75"/>
      <c r="AJ185" s="77" t="str">
        <f aca="false">IFERROR(IF(AH185="","",AH185*AI185),"")</f>
        <v/>
      </c>
      <c r="AK185" s="75"/>
      <c r="AL185" s="75"/>
      <c r="AM185" s="77" t="str">
        <f aca="false">IFERROR(IF(AK185="","",AK185*AL185),"")</f>
        <v/>
      </c>
      <c r="AN185" s="75"/>
    </row>
    <row r="186" customFormat="false" ht="15.75" hidden="false" customHeight="true" outlineLevel="0" collapsed="false">
      <c r="A186" s="60" t="n">
        <v>179</v>
      </c>
      <c r="B186" s="72"/>
      <c r="C186" s="73"/>
      <c r="D186" s="72"/>
      <c r="E186" s="72"/>
      <c r="F186" s="74" t="str">
        <f aca="false">IFERROR(IF(D186="","",D186*E186),"")</f>
        <v/>
      </c>
      <c r="G186" s="72"/>
      <c r="H186" s="72"/>
      <c r="I186" s="74" t="str">
        <f aca="false">IFERROR(IF(G186="","",G186*H186),"")</f>
        <v/>
      </c>
      <c r="J186" s="72"/>
      <c r="K186" s="72"/>
      <c r="L186" s="74" t="str">
        <f aca="false">IFERROR(IF(J186="","",J186*K186),"")</f>
        <v/>
      </c>
      <c r="M186" s="72"/>
      <c r="N186" s="72"/>
      <c r="O186" s="74" t="str">
        <f aca="false">IFERROR(IF(M186="","",M186*N186),"")</f>
        <v/>
      </c>
      <c r="P186" s="72"/>
      <c r="Q186" s="72"/>
      <c r="R186" s="74" t="str">
        <f aca="false">IFERROR(IF(P186="","",P186*Q186),"")</f>
        <v/>
      </c>
      <c r="S186" s="72"/>
      <c r="T186" s="72"/>
      <c r="U186" s="74" t="str">
        <f aca="false">IFERROR(IF(S186="","",S186*T186),"")</f>
        <v/>
      </c>
      <c r="V186" s="72"/>
      <c r="W186" s="72"/>
      <c r="X186" s="74" t="str">
        <f aca="false">IFERROR(IF(V186="","",V186*W186),"")</f>
        <v/>
      </c>
      <c r="Y186" s="72"/>
      <c r="Z186" s="72"/>
      <c r="AA186" s="74" t="str">
        <f aca="false">IFERROR(IF(Y186="","",Y186*Z186),"")</f>
        <v/>
      </c>
      <c r="AB186" s="72"/>
      <c r="AC186" s="72"/>
      <c r="AD186" s="74" t="str">
        <f aca="false">IFERROR(IF(AB186="","",AB186*AC186),"")</f>
        <v/>
      </c>
      <c r="AE186" s="72"/>
      <c r="AF186" s="72"/>
      <c r="AG186" s="74" t="str">
        <f aca="false">IFERROR(IF(AE186="","",AE186*AF186),"")</f>
        <v/>
      </c>
      <c r="AH186" s="72"/>
      <c r="AI186" s="72"/>
      <c r="AJ186" s="74" t="str">
        <f aca="false">IFERROR(IF(AH186="","",AH186*AI186),"")</f>
        <v/>
      </c>
      <c r="AK186" s="72"/>
      <c r="AL186" s="72"/>
      <c r="AM186" s="74" t="str">
        <f aca="false">IFERROR(IF(AK186="","",AK186*AL186),"")</f>
        <v/>
      </c>
      <c r="AN186" s="72"/>
    </row>
    <row r="187" customFormat="false" ht="15.75" hidden="false" customHeight="true" outlineLevel="0" collapsed="false">
      <c r="A187" s="62" t="n">
        <v>180</v>
      </c>
      <c r="B187" s="75"/>
      <c r="C187" s="76"/>
      <c r="D187" s="75"/>
      <c r="E187" s="75"/>
      <c r="F187" s="77" t="str">
        <f aca="false">IFERROR(IF(D187="","",D187*E187),"")</f>
        <v/>
      </c>
      <c r="G187" s="75"/>
      <c r="H187" s="75"/>
      <c r="I187" s="77" t="str">
        <f aca="false">IFERROR(IF(G187="","",G187*H187),"")</f>
        <v/>
      </c>
      <c r="J187" s="75"/>
      <c r="K187" s="75"/>
      <c r="L187" s="77" t="str">
        <f aca="false">IFERROR(IF(J187="","",J187*K187),"")</f>
        <v/>
      </c>
      <c r="M187" s="75"/>
      <c r="N187" s="75"/>
      <c r="O187" s="77" t="str">
        <f aca="false">IFERROR(IF(M187="","",M187*N187),"")</f>
        <v/>
      </c>
      <c r="P187" s="75"/>
      <c r="Q187" s="75"/>
      <c r="R187" s="77" t="str">
        <f aca="false">IFERROR(IF(P187="","",P187*Q187),"")</f>
        <v/>
      </c>
      <c r="S187" s="75"/>
      <c r="T187" s="75"/>
      <c r="U187" s="77" t="str">
        <f aca="false">IFERROR(IF(S187="","",S187*T187),"")</f>
        <v/>
      </c>
      <c r="V187" s="75"/>
      <c r="W187" s="75"/>
      <c r="X187" s="77" t="str">
        <f aca="false">IFERROR(IF(V187="","",V187*W187),"")</f>
        <v/>
      </c>
      <c r="Y187" s="75"/>
      <c r="Z187" s="75"/>
      <c r="AA187" s="77" t="str">
        <f aca="false">IFERROR(IF(Y187="","",Y187*Z187),"")</f>
        <v/>
      </c>
      <c r="AB187" s="75"/>
      <c r="AC187" s="75"/>
      <c r="AD187" s="77" t="str">
        <f aca="false">IFERROR(IF(AB187="","",AB187*AC187),"")</f>
        <v/>
      </c>
      <c r="AE187" s="75"/>
      <c r="AF187" s="75"/>
      <c r="AG187" s="77" t="str">
        <f aca="false">IFERROR(IF(AE187="","",AE187*AF187),"")</f>
        <v/>
      </c>
      <c r="AH187" s="75"/>
      <c r="AI187" s="75"/>
      <c r="AJ187" s="77" t="str">
        <f aca="false">IFERROR(IF(AH187="","",AH187*AI187),"")</f>
        <v/>
      </c>
      <c r="AK187" s="75"/>
      <c r="AL187" s="75"/>
      <c r="AM187" s="77" t="str">
        <f aca="false">IFERROR(IF(AK187="","",AK187*AL187),"")</f>
        <v/>
      </c>
      <c r="AN187" s="75"/>
    </row>
    <row r="188" customFormat="false" ht="15.75" hidden="false" customHeight="true" outlineLevel="0" collapsed="false">
      <c r="A188" s="60" t="n">
        <v>181</v>
      </c>
      <c r="B188" s="72"/>
      <c r="C188" s="73"/>
      <c r="D188" s="72"/>
      <c r="E188" s="72"/>
      <c r="F188" s="74" t="str">
        <f aca="false">IFERROR(IF(D188="","",D188*E188),"")</f>
        <v/>
      </c>
      <c r="G188" s="72"/>
      <c r="H188" s="72"/>
      <c r="I188" s="74" t="str">
        <f aca="false">IFERROR(IF(G188="","",G188*H188),"")</f>
        <v/>
      </c>
      <c r="J188" s="72"/>
      <c r="K188" s="72"/>
      <c r="L188" s="74" t="str">
        <f aca="false">IFERROR(IF(J188="","",J188*K188),"")</f>
        <v/>
      </c>
      <c r="M188" s="72"/>
      <c r="N188" s="72"/>
      <c r="O188" s="74" t="str">
        <f aca="false">IFERROR(IF(M188="","",M188*N188),"")</f>
        <v/>
      </c>
      <c r="P188" s="72"/>
      <c r="Q188" s="72"/>
      <c r="R188" s="74" t="str">
        <f aca="false">IFERROR(IF(P188="","",P188*Q188),"")</f>
        <v/>
      </c>
      <c r="S188" s="72"/>
      <c r="T188" s="72"/>
      <c r="U188" s="74" t="str">
        <f aca="false">IFERROR(IF(S188="","",S188*T188),"")</f>
        <v/>
      </c>
      <c r="V188" s="72"/>
      <c r="W188" s="72"/>
      <c r="X188" s="74" t="str">
        <f aca="false">IFERROR(IF(V188="","",V188*W188),"")</f>
        <v/>
      </c>
      <c r="Y188" s="72"/>
      <c r="Z188" s="72"/>
      <c r="AA188" s="74" t="str">
        <f aca="false">IFERROR(IF(Y188="","",Y188*Z188),"")</f>
        <v/>
      </c>
      <c r="AB188" s="72"/>
      <c r="AC188" s="72"/>
      <c r="AD188" s="74" t="str">
        <f aca="false">IFERROR(IF(AB188="","",AB188*AC188),"")</f>
        <v/>
      </c>
      <c r="AE188" s="72"/>
      <c r="AF188" s="72"/>
      <c r="AG188" s="74" t="str">
        <f aca="false">IFERROR(IF(AE188="","",AE188*AF188),"")</f>
        <v/>
      </c>
      <c r="AH188" s="72"/>
      <c r="AI188" s="72"/>
      <c r="AJ188" s="74" t="str">
        <f aca="false">IFERROR(IF(AH188="","",AH188*AI188),"")</f>
        <v/>
      </c>
      <c r="AK188" s="72"/>
      <c r="AL188" s="72"/>
      <c r="AM188" s="74" t="str">
        <f aca="false">IFERROR(IF(AK188="","",AK188*AL188),"")</f>
        <v/>
      </c>
      <c r="AN188" s="72"/>
    </row>
    <row r="189" customFormat="false" ht="15.75" hidden="false" customHeight="true" outlineLevel="0" collapsed="false">
      <c r="A189" s="62" t="n">
        <v>182</v>
      </c>
      <c r="B189" s="75"/>
      <c r="C189" s="76"/>
      <c r="D189" s="75"/>
      <c r="E189" s="75"/>
      <c r="F189" s="77" t="str">
        <f aca="false">IFERROR(IF(D189="","",D189*E189),"")</f>
        <v/>
      </c>
      <c r="G189" s="75"/>
      <c r="H189" s="75"/>
      <c r="I189" s="77" t="str">
        <f aca="false">IFERROR(IF(G189="","",G189*H189),"")</f>
        <v/>
      </c>
      <c r="J189" s="75"/>
      <c r="K189" s="75"/>
      <c r="L189" s="77" t="str">
        <f aca="false">IFERROR(IF(J189="","",J189*K189),"")</f>
        <v/>
      </c>
      <c r="M189" s="75"/>
      <c r="N189" s="75"/>
      <c r="O189" s="77" t="str">
        <f aca="false">IFERROR(IF(M189="","",M189*N189),"")</f>
        <v/>
      </c>
      <c r="P189" s="75"/>
      <c r="Q189" s="75"/>
      <c r="R189" s="77" t="str">
        <f aca="false">IFERROR(IF(P189="","",P189*Q189),"")</f>
        <v/>
      </c>
      <c r="S189" s="75"/>
      <c r="T189" s="75"/>
      <c r="U189" s="77" t="str">
        <f aca="false">IFERROR(IF(S189="","",S189*T189),"")</f>
        <v/>
      </c>
      <c r="V189" s="75"/>
      <c r="W189" s="75"/>
      <c r="X189" s="77" t="str">
        <f aca="false">IFERROR(IF(V189="","",V189*W189),"")</f>
        <v/>
      </c>
      <c r="Y189" s="75"/>
      <c r="Z189" s="75"/>
      <c r="AA189" s="77" t="str">
        <f aca="false">IFERROR(IF(Y189="","",Y189*Z189),"")</f>
        <v/>
      </c>
      <c r="AB189" s="75"/>
      <c r="AC189" s="75"/>
      <c r="AD189" s="77" t="str">
        <f aca="false">IFERROR(IF(AB189="","",AB189*AC189),"")</f>
        <v/>
      </c>
      <c r="AE189" s="75"/>
      <c r="AF189" s="75"/>
      <c r="AG189" s="77" t="str">
        <f aca="false">IFERROR(IF(AE189="","",AE189*AF189),"")</f>
        <v/>
      </c>
      <c r="AH189" s="75"/>
      <c r="AI189" s="75"/>
      <c r="AJ189" s="77" t="str">
        <f aca="false">IFERROR(IF(AH189="","",AH189*AI189),"")</f>
        <v/>
      </c>
      <c r="AK189" s="75"/>
      <c r="AL189" s="75"/>
      <c r="AM189" s="77" t="str">
        <f aca="false">IFERROR(IF(AK189="","",AK189*AL189),"")</f>
        <v/>
      </c>
      <c r="AN189" s="75"/>
    </row>
    <row r="190" customFormat="false" ht="15.75" hidden="false" customHeight="true" outlineLevel="0" collapsed="false">
      <c r="A190" s="60" t="n">
        <v>183</v>
      </c>
      <c r="B190" s="72"/>
      <c r="C190" s="73"/>
      <c r="D190" s="72"/>
      <c r="E190" s="72"/>
      <c r="F190" s="74" t="str">
        <f aca="false">IFERROR(IF(D190="","",D190*E190),"")</f>
        <v/>
      </c>
      <c r="G190" s="72"/>
      <c r="H190" s="72"/>
      <c r="I190" s="74" t="str">
        <f aca="false">IFERROR(IF(G190="","",G190*H190),"")</f>
        <v/>
      </c>
      <c r="J190" s="72"/>
      <c r="K190" s="72"/>
      <c r="L190" s="74" t="str">
        <f aca="false">IFERROR(IF(J190="","",J190*K190),"")</f>
        <v/>
      </c>
      <c r="M190" s="72"/>
      <c r="N190" s="72"/>
      <c r="O190" s="74" t="str">
        <f aca="false">IFERROR(IF(M190="","",M190*N190),"")</f>
        <v/>
      </c>
      <c r="P190" s="72"/>
      <c r="Q190" s="72"/>
      <c r="R190" s="74" t="str">
        <f aca="false">IFERROR(IF(P190="","",P190*Q190),"")</f>
        <v/>
      </c>
      <c r="S190" s="72"/>
      <c r="T190" s="72"/>
      <c r="U190" s="74" t="str">
        <f aca="false">IFERROR(IF(S190="","",S190*T190),"")</f>
        <v/>
      </c>
      <c r="V190" s="72"/>
      <c r="W190" s="72"/>
      <c r="X190" s="74" t="str">
        <f aca="false">IFERROR(IF(V190="","",V190*W190),"")</f>
        <v/>
      </c>
      <c r="Y190" s="72"/>
      <c r="Z190" s="72"/>
      <c r="AA190" s="74" t="str">
        <f aca="false">IFERROR(IF(Y190="","",Y190*Z190),"")</f>
        <v/>
      </c>
      <c r="AB190" s="72"/>
      <c r="AC190" s="72"/>
      <c r="AD190" s="74" t="str">
        <f aca="false">IFERROR(IF(AB190="","",AB190*AC190),"")</f>
        <v/>
      </c>
      <c r="AE190" s="72"/>
      <c r="AF190" s="72"/>
      <c r="AG190" s="74" t="str">
        <f aca="false">IFERROR(IF(AE190="","",AE190*AF190),"")</f>
        <v/>
      </c>
      <c r="AH190" s="72"/>
      <c r="AI190" s="72"/>
      <c r="AJ190" s="74" t="str">
        <f aca="false">IFERROR(IF(AH190="","",AH190*AI190),"")</f>
        <v/>
      </c>
      <c r="AK190" s="72"/>
      <c r="AL190" s="72"/>
      <c r="AM190" s="74" t="str">
        <f aca="false">IFERROR(IF(AK190="","",AK190*AL190),"")</f>
        <v/>
      </c>
      <c r="AN190" s="72"/>
    </row>
    <row r="191" customFormat="false" ht="15.75" hidden="false" customHeight="true" outlineLevel="0" collapsed="false">
      <c r="A191" s="62" t="n">
        <v>184</v>
      </c>
      <c r="B191" s="75"/>
      <c r="C191" s="76"/>
      <c r="D191" s="75"/>
      <c r="E191" s="75"/>
      <c r="F191" s="77" t="str">
        <f aca="false">IFERROR(IF(D191="","",D191*E191),"")</f>
        <v/>
      </c>
      <c r="G191" s="75"/>
      <c r="H191" s="75"/>
      <c r="I191" s="77" t="str">
        <f aca="false">IFERROR(IF(G191="","",G191*H191),"")</f>
        <v/>
      </c>
      <c r="J191" s="75"/>
      <c r="K191" s="75"/>
      <c r="L191" s="77" t="str">
        <f aca="false">IFERROR(IF(J191="","",J191*K191),"")</f>
        <v/>
      </c>
      <c r="M191" s="75"/>
      <c r="N191" s="75"/>
      <c r="O191" s="77" t="str">
        <f aca="false">IFERROR(IF(M191="","",M191*N191),"")</f>
        <v/>
      </c>
      <c r="P191" s="75"/>
      <c r="Q191" s="75"/>
      <c r="R191" s="77" t="str">
        <f aca="false">IFERROR(IF(P191="","",P191*Q191),"")</f>
        <v/>
      </c>
      <c r="S191" s="75"/>
      <c r="T191" s="75"/>
      <c r="U191" s="77" t="str">
        <f aca="false">IFERROR(IF(S191="","",S191*T191),"")</f>
        <v/>
      </c>
      <c r="V191" s="75"/>
      <c r="W191" s="75"/>
      <c r="X191" s="77" t="str">
        <f aca="false">IFERROR(IF(V191="","",V191*W191),"")</f>
        <v/>
      </c>
      <c r="Y191" s="75"/>
      <c r="Z191" s="75"/>
      <c r="AA191" s="77" t="str">
        <f aca="false">IFERROR(IF(Y191="","",Y191*Z191),"")</f>
        <v/>
      </c>
      <c r="AB191" s="75"/>
      <c r="AC191" s="75"/>
      <c r="AD191" s="77" t="str">
        <f aca="false">IFERROR(IF(AB191="","",AB191*AC191),"")</f>
        <v/>
      </c>
      <c r="AE191" s="75"/>
      <c r="AF191" s="75"/>
      <c r="AG191" s="77" t="str">
        <f aca="false">IFERROR(IF(AE191="","",AE191*AF191),"")</f>
        <v/>
      </c>
      <c r="AH191" s="75"/>
      <c r="AI191" s="75"/>
      <c r="AJ191" s="77" t="str">
        <f aca="false">IFERROR(IF(AH191="","",AH191*AI191),"")</f>
        <v/>
      </c>
      <c r="AK191" s="75"/>
      <c r="AL191" s="75"/>
      <c r="AM191" s="77" t="str">
        <f aca="false">IFERROR(IF(AK191="","",AK191*AL191),"")</f>
        <v/>
      </c>
      <c r="AN191" s="75"/>
    </row>
    <row r="192" customFormat="false" ht="15.75" hidden="false" customHeight="true" outlineLevel="0" collapsed="false">
      <c r="A192" s="60" t="n">
        <v>185</v>
      </c>
      <c r="B192" s="72"/>
      <c r="C192" s="73"/>
      <c r="D192" s="72"/>
      <c r="E192" s="72"/>
      <c r="F192" s="74" t="str">
        <f aca="false">IFERROR(IF(D192="","",D192*E192),"")</f>
        <v/>
      </c>
      <c r="G192" s="72"/>
      <c r="H192" s="72"/>
      <c r="I192" s="74" t="str">
        <f aca="false">IFERROR(IF(G192="","",G192*H192),"")</f>
        <v/>
      </c>
      <c r="J192" s="72"/>
      <c r="K192" s="72"/>
      <c r="L192" s="74" t="str">
        <f aca="false">IFERROR(IF(J192="","",J192*K192),"")</f>
        <v/>
      </c>
      <c r="M192" s="72"/>
      <c r="N192" s="72"/>
      <c r="O192" s="74" t="str">
        <f aca="false">IFERROR(IF(M192="","",M192*N192),"")</f>
        <v/>
      </c>
      <c r="P192" s="72"/>
      <c r="Q192" s="72"/>
      <c r="R192" s="74" t="str">
        <f aca="false">IFERROR(IF(P192="","",P192*Q192),"")</f>
        <v/>
      </c>
      <c r="S192" s="72"/>
      <c r="T192" s="72"/>
      <c r="U192" s="74" t="str">
        <f aca="false">IFERROR(IF(S192="","",S192*T192),"")</f>
        <v/>
      </c>
      <c r="V192" s="72"/>
      <c r="W192" s="72"/>
      <c r="X192" s="74" t="str">
        <f aca="false">IFERROR(IF(V192="","",V192*W192),"")</f>
        <v/>
      </c>
      <c r="Y192" s="72"/>
      <c r="Z192" s="72"/>
      <c r="AA192" s="74" t="str">
        <f aca="false">IFERROR(IF(Y192="","",Y192*Z192),"")</f>
        <v/>
      </c>
      <c r="AB192" s="72"/>
      <c r="AC192" s="72"/>
      <c r="AD192" s="74" t="str">
        <f aca="false">IFERROR(IF(AB192="","",AB192*AC192),"")</f>
        <v/>
      </c>
      <c r="AE192" s="72"/>
      <c r="AF192" s="72"/>
      <c r="AG192" s="74" t="str">
        <f aca="false">IFERROR(IF(AE192="","",AE192*AF192),"")</f>
        <v/>
      </c>
      <c r="AH192" s="72"/>
      <c r="AI192" s="72"/>
      <c r="AJ192" s="74" t="str">
        <f aca="false">IFERROR(IF(AH192="","",AH192*AI192),"")</f>
        <v/>
      </c>
      <c r="AK192" s="72"/>
      <c r="AL192" s="72"/>
      <c r="AM192" s="74" t="str">
        <f aca="false">IFERROR(IF(AK192="","",AK192*AL192),"")</f>
        <v/>
      </c>
      <c r="AN192" s="72"/>
    </row>
    <row r="193" customFormat="false" ht="15.75" hidden="false" customHeight="true" outlineLevel="0" collapsed="false">
      <c r="A193" s="62" t="n">
        <v>186</v>
      </c>
      <c r="B193" s="75"/>
      <c r="C193" s="76"/>
      <c r="D193" s="75"/>
      <c r="E193" s="75"/>
      <c r="F193" s="77" t="str">
        <f aca="false">IFERROR(IF(D193="","",D193*E193),"")</f>
        <v/>
      </c>
      <c r="G193" s="75"/>
      <c r="H193" s="75"/>
      <c r="I193" s="77" t="str">
        <f aca="false">IFERROR(IF(G193="","",G193*H193),"")</f>
        <v/>
      </c>
      <c r="J193" s="75"/>
      <c r="K193" s="75"/>
      <c r="L193" s="77" t="str">
        <f aca="false">IFERROR(IF(J193="","",J193*K193),"")</f>
        <v/>
      </c>
      <c r="M193" s="75"/>
      <c r="N193" s="75"/>
      <c r="O193" s="77" t="str">
        <f aca="false">IFERROR(IF(M193="","",M193*N193),"")</f>
        <v/>
      </c>
      <c r="P193" s="75"/>
      <c r="Q193" s="75"/>
      <c r="R193" s="77" t="str">
        <f aca="false">IFERROR(IF(P193="","",P193*Q193),"")</f>
        <v/>
      </c>
      <c r="S193" s="75"/>
      <c r="T193" s="75"/>
      <c r="U193" s="77" t="str">
        <f aca="false">IFERROR(IF(S193="","",S193*T193),"")</f>
        <v/>
      </c>
      <c r="V193" s="75"/>
      <c r="W193" s="75"/>
      <c r="X193" s="77" t="str">
        <f aca="false">IFERROR(IF(V193="","",V193*W193),"")</f>
        <v/>
      </c>
      <c r="Y193" s="75"/>
      <c r="Z193" s="75"/>
      <c r="AA193" s="77" t="str">
        <f aca="false">IFERROR(IF(Y193="","",Y193*Z193),"")</f>
        <v/>
      </c>
      <c r="AB193" s="75"/>
      <c r="AC193" s="75"/>
      <c r="AD193" s="77" t="str">
        <f aca="false">IFERROR(IF(AB193="","",AB193*AC193),"")</f>
        <v/>
      </c>
      <c r="AE193" s="75"/>
      <c r="AF193" s="75"/>
      <c r="AG193" s="77" t="str">
        <f aca="false">IFERROR(IF(AE193="","",AE193*AF193),"")</f>
        <v/>
      </c>
      <c r="AH193" s="75"/>
      <c r="AI193" s="75"/>
      <c r="AJ193" s="77" t="str">
        <f aca="false">IFERROR(IF(AH193="","",AH193*AI193),"")</f>
        <v/>
      </c>
      <c r="AK193" s="75"/>
      <c r="AL193" s="75"/>
      <c r="AM193" s="77" t="str">
        <f aca="false">IFERROR(IF(AK193="","",AK193*AL193),"")</f>
        <v/>
      </c>
      <c r="AN193" s="75"/>
    </row>
    <row r="194" customFormat="false" ht="15.75" hidden="false" customHeight="true" outlineLevel="0" collapsed="false">
      <c r="A194" s="60" t="n">
        <v>187</v>
      </c>
      <c r="B194" s="72"/>
      <c r="C194" s="73"/>
      <c r="D194" s="72"/>
      <c r="E194" s="72"/>
      <c r="F194" s="74" t="str">
        <f aca="false">IFERROR(IF(D194="","",D194*E194),"")</f>
        <v/>
      </c>
      <c r="G194" s="72"/>
      <c r="H194" s="72"/>
      <c r="I194" s="74" t="str">
        <f aca="false">IFERROR(IF(G194="","",G194*H194),"")</f>
        <v/>
      </c>
      <c r="J194" s="72"/>
      <c r="K194" s="72"/>
      <c r="L194" s="74" t="str">
        <f aca="false">IFERROR(IF(J194="","",J194*K194),"")</f>
        <v/>
      </c>
      <c r="M194" s="72"/>
      <c r="N194" s="72"/>
      <c r="O194" s="74" t="str">
        <f aca="false">IFERROR(IF(M194="","",M194*N194),"")</f>
        <v/>
      </c>
      <c r="P194" s="72"/>
      <c r="Q194" s="72"/>
      <c r="R194" s="74" t="str">
        <f aca="false">IFERROR(IF(P194="","",P194*Q194),"")</f>
        <v/>
      </c>
      <c r="S194" s="72"/>
      <c r="T194" s="72"/>
      <c r="U194" s="74" t="str">
        <f aca="false">IFERROR(IF(S194="","",S194*T194),"")</f>
        <v/>
      </c>
      <c r="V194" s="72"/>
      <c r="W194" s="72"/>
      <c r="X194" s="74" t="str">
        <f aca="false">IFERROR(IF(V194="","",V194*W194),"")</f>
        <v/>
      </c>
      <c r="Y194" s="72"/>
      <c r="Z194" s="72"/>
      <c r="AA194" s="74" t="str">
        <f aca="false">IFERROR(IF(Y194="","",Y194*Z194),"")</f>
        <v/>
      </c>
      <c r="AB194" s="72"/>
      <c r="AC194" s="72"/>
      <c r="AD194" s="74" t="str">
        <f aca="false">IFERROR(IF(AB194="","",AB194*AC194),"")</f>
        <v/>
      </c>
      <c r="AE194" s="72"/>
      <c r="AF194" s="72"/>
      <c r="AG194" s="74" t="str">
        <f aca="false">IFERROR(IF(AE194="","",AE194*AF194),"")</f>
        <v/>
      </c>
      <c r="AH194" s="72"/>
      <c r="AI194" s="72"/>
      <c r="AJ194" s="74" t="str">
        <f aca="false">IFERROR(IF(AH194="","",AH194*AI194),"")</f>
        <v/>
      </c>
      <c r="AK194" s="72"/>
      <c r="AL194" s="72"/>
      <c r="AM194" s="74" t="str">
        <f aca="false">IFERROR(IF(AK194="","",AK194*AL194),"")</f>
        <v/>
      </c>
      <c r="AN194" s="72"/>
    </row>
    <row r="195" customFormat="false" ht="15.75" hidden="false" customHeight="true" outlineLevel="0" collapsed="false">
      <c r="A195" s="62" t="n">
        <v>188</v>
      </c>
      <c r="B195" s="75"/>
      <c r="C195" s="76"/>
      <c r="D195" s="75"/>
      <c r="E195" s="75"/>
      <c r="F195" s="77" t="str">
        <f aca="false">IFERROR(IF(D195="","",D195*E195),"")</f>
        <v/>
      </c>
      <c r="G195" s="75"/>
      <c r="H195" s="75"/>
      <c r="I195" s="77" t="str">
        <f aca="false">IFERROR(IF(G195="","",G195*H195),"")</f>
        <v/>
      </c>
      <c r="J195" s="75"/>
      <c r="K195" s="75"/>
      <c r="L195" s="77" t="str">
        <f aca="false">IFERROR(IF(J195="","",J195*K195),"")</f>
        <v/>
      </c>
      <c r="M195" s="75"/>
      <c r="N195" s="75"/>
      <c r="O195" s="77" t="str">
        <f aca="false">IFERROR(IF(M195="","",M195*N195),"")</f>
        <v/>
      </c>
      <c r="P195" s="75"/>
      <c r="Q195" s="75"/>
      <c r="R195" s="77" t="str">
        <f aca="false">IFERROR(IF(P195="","",P195*Q195),"")</f>
        <v/>
      </c>
      <c r="S195" s="75"/>
      <c r="T195" s="75"/>
      <c r="U195" s="77" t="str">
        <f aca="false">IFERROR(IF(S195="","",S195*T195),"")</f>
        <v/>
      </c>
      <c r="V195" s="75"/>
      <c r="W195" s="75"/>
      <c r="X195" s="77" t="str">
        <f aca="false">IFERROR(IF(V195="","",V195*W195),"")</f>
        <v/>
      </c>
      <c r="Y195" s="75"/>
      <c r="Z195" s="75"/>
      <c r="AA195" s="77" t="str">
        <f aca="false">IFERROR(IF(Y195="","",Y195*Z195),"")</f>
        <v/>
      </c>
      <c r="AB195" s="75"/>
      <c r="AC195" s="75"/>
      <c r="AD195" s="77" t="str">
        <f aca="false">IFERROR(IF(AB195="","",AB195*AC195),"")</f>
        <v/>
      </c>
      <c r="AE195" s="75"/>
      <c r="AF195" s="75"/>
      <c r="AG195" s="77" t="str">
        <f aca="false">IFERROR(IF(AE195="","",AE195*AF195),"")</f>
        <v/>
      </c>
      <c r="AH195" s="75"/>
      <c r="AI195" s="75"/>
      <c r="AJ195" s="77" t="str">
        <f aca="false">IFERROR(IF(AH195="","",AH195*AI195),"")</f>
        <v/>
      </c>
      <c r="AK195" s="75"/>
      <c r="AL195" s="75"/>
      <c r="AM195" s="77" t="str">
        <f aca="false">IFERROR(IF(AK195="","",AK195*AL195),"")</f>
        <v/>
      </c>
      <c r="AN195" s="75"/>
    </row>
    <row r="196" customFormat="false" ht="15.75" hidden="false" customHeight="true" outlineLevel="0" collapsed="false">
      <c r="A196" s="60" t="n">
        <v>189</v>
      </c>
      <c r="B196" s="72"/>
      <c r="C196" s="73"/>
      <c r="D196" s="72"/>
      <c r="E196" s="72"/>
      <c r="F196" s="74" t="str">
        <f aca="false">IFERROR(IF(D196="","",D196*E196),"")</f>
        <v/>
      </c>
      <c r="G196" s="72"/>
      <c r="H196" s="72"/>
      <c r="I196" s="74" t="str">
        <f aca="false">IFERROR(IF(G196="","",G196*H196),"")</f>
        <v/>
      </c>
      <c r="J196" s="72"/>
      <c r="K196" s="72"/>
      <c r="L196" s="74" t="str">
        <f aca="false">IFERROR(IF(J196="","",J196*K196),"")</f>
        <v/>
      </c>
      <c r="M196" s="72"/>
      <c r="N196" s="72"/>
      <c r="O196" s="74" t="str">
        <f aca="false">IFERROR(IF(M196="","",M196*N196),"")</f>
        <v/>
      </c>
      <c r="P196" s="72"/>
      <c r="Q196" s="72"/>
      <c r="R196" s="74" t="str">
        <f aca="false">IFERROR(IF(P196="","",P196*Q196),"")</f>
        <v/>
      </c>
      <c r="S196" s="72"/>
      <c r="T196" s="72"/>
      <c r="U196" s="74" t="str">
        <f aca="false">IFERROR(IF(S196="","",S196*T196),"")</f>
        <v/>
      </c>
      <c r="V196" s="72"/>
      <c r="W196" s="72"/>
      <c r="X196" s="74" t="str">
        <f aca="false">IFERROR(IF(V196="","",V196*W196),"")</f>
        <v/>
      </c>
      <c r="Y196" s="72"/>
      <c r="Z196" s="72"/>
      <c r="AA196" s="74" t="str">
        <f aca="false">IFERROR(IF(Y196="","",Y196*Z196),"")</f>
        <v/>
      </c>
      <c r="AB196" s="72"/>
      <c r="AC196" s="72"/>
      <c r="AD196" s="74" t="str">
        <f aca="false">IFERROR(IF(AB196="","",AB196*AC196),"")</f>
        <v/>
      </c>
      <c r="AE196" s="72"/>
      <c r="AF196" s="72"/>
      <c r="AG196" s="74" t="str">
        <f aca="false">IFERROR(IF(AE196="","",AE196*AF196),"")</f>
        <v/>
      </c>
      <c r="AH196" s="72"/>
      <c r="AI196" s="72"/>
      <c r="AJ196" s="74" t="str">
        <f aca="false">IFERROR(IF(AH196="","",AH196*AI196),"")</f>
        <v/>
      </c>
      <c r="AK196" s="72"/>
      <c r="AL196" s="72"/>
      <c r="AM196" s="74" t="str">
        <f aca="false">IFERROR(IF(AK196="","",AK196*AL196),"")</f>
        <v/>
      </c>
      <c r="AN196" s="72"/>
    </row>
    <row r="197" customFormat="false" ht="15.75" hidden="false" customHeight="true" outlineLevel="0" collapsed="false">
      <c r="A197" s="62" t="n">
        <v>190</v>
      </c>
      <c r="B197" s="75"/>
      <c r="C197" s="76"/>
      <c r="D197" s="75"/>
      <c r="E197" s="75"/>
      <c r="F197" s="77" t="str">
        <f aca="false">IFERROR(IF(D197="","",D197*E197),"")</f>
        <v/>
      </c>
      <c r="G197" s="75"/>
      <c r="H197" s="75"/>
      <c r="I197" s="77" t="str">
        <f aca="false">IFERROR(IF(G197="","",G197*H197),"")</f>
        <v/>
      </c>
      <c r="J197" s="75"/>
      <c r="K197" s="75"/>
      <c r="L197" s="77" t="str">
        <f aca="false">IFERROR(IF(J197="","",J197*K197),"")</f>
        <v/>
      </c>
      <c r="M197" s="75"/>
      <c r="N197" s="75"/>
      <c r="O197" s="77" t="str">
        <f aca="false">IFERROR(IF(M197="","",M197*N197),"")</f>
        <v/>
      </c>
      <c r="P197" s="75"/>
      <c r="Q197" s="75"/>
      <c r="R197" s="77" t="str">
        <f aca="false">IFERROR(IF(P197="","",P197*Q197),"")</f>
        <v/>
      </c>
      <c r="S197" s="75"/>
      <c r="T197" s="75"/>
      <c r="U197" s="77" t="str">
        <f aca="false">IFERROR(IF(S197="","",S197*T197),"")</f>
        <v/>
      </c>
      <c r="V197" s="75"/>
      <c r="W197" s="75"/>
      <c r="X197" s="77" t="str">
        <f aca="false">IFERROR(IF(V197="","",V197*W197),"")</f>
        <v/>
      </c>
      <c r="Y197" s="75"/>
      <c r="Z197" s="75"/>
      <c r="AA197" s="77" t="str">
        <f aca="false">IFERROR(IF(Y197="","",Y197*Z197),"")</f>
        <v/>
      </c>
      <c r="AB197" s="75"/>
      <c r="AC197" s="75"/>
      <c r="AD197" s="77" t="str">
        <f aca="false">IFERROR(IF(AB197="","",AB197*AC197),"")</f>
        <v/>
      </c>
      <c r="AE197" s="75"/>
      <c r="AF197" s="75"/>
      <c r="AG197" s="77" t="str">
        <f aca="false">IFERROR(IF(AE197="","",AE197*AF197),"")</f>
        <v/>
      </c>
      <c r="AH197" s="75"/>
      <c r="AI197" s="75"/>
      <c r="AJ197" s="77" t="str">
        <f aca="false">IFERROR(IF(AH197="","",AH197*AI197),"")</f>
        <v/>
      </c>
      <c r="AK197" s="75"/>
      <c r="AL197" s="75"/>
      <c r="AM197" s="77" t="str">
        <f aca="false">IFERROR(IF(AK197="","",AK197*AL197),"")</f>
        <v/>
      </c>
      <c r="AN197" s="75"/>
    </row>
    <row r="198" customFormat="false" ht="15.75" hidden="false" customHeight="true" outlineLevel="0" collapsed="false">
      <c r="A198" s="60" t="n">
        <v>191</v>
      </c>
      <c r="B198" s="72"/>
      <c r="C198" s="73"/>
      <c r="D198" s="72"/>
      <c r="E198" s="72"/>
      <c r="F198" s="74" t="str">
        <f aca="false">IFERROR(IF(D198="","",D198*E198),"")</f>
        <v/>
      </c>
      <c r="G198" s="72"/>
      <c r="H198" s="72"/>
      <c r="I198" s="74" t="str">
        <f aca="false">IFERROR(IF(G198="","",G198*H198),"")</f>
        <v/>
      </c>
      <c r="J198" s="72"/>
      <c r="K198" s="72"/>
      <c r="L198" s="74" t="str">
        <f aca="false">IFERROR(IF(J198="","",J198*K198),"")</f>
        <v/>
      </c>
      <c r="M198" s="72"/>
      <c r="N198" s="72"/>
      <c r="O198" s="74" t="str">
        <f aca="false">IFERROR(IF(M198="","",M198*N198),"")</f>
        <v/>
      </c>
      <c r="P198" s="72"/>
      <c r="Q198" s="72"/>
      <c r="R198" s="74" t="str">
        <f aca="false">IFERROR(IF(P198="","",P198*Q198),"")</f>
        <v/>
      </c>
      <c r="S198" s="72"/>
      <c r="T198" s="72"/>
      <c r="U198" s="74" t="str">
        <f aca="false">IFERROR(IF(S198="","",S198*T198),"")</f>
        <v/>
      </c>
      <c r="V198" s="72"/>
      <c r="W198" s="72"/>
      <c r="X198" s="74" t="str">
        <f aca="false">IFERROR(IF(V198="","",V198*W198),"")</f>
        <v/>
      </c>
      <c r="Y198" s="72"/>
      <c r="Z198" s="72"/>
      <c r="AA198" s="74" t="str">
        <f aca="false">IFERROR(IF(Y198="","",Y198*Z198),"")</f>
        <v/>
      </c>
      <c r="AB198" s="72"/>
      <c r="AC198" s="72"/>
      <c r="AD198" s="74" t="str">
        <f aca="false">IFERROR(IF(AB198="","",AB198*AC198),"")</f>
        <v/>
      </c>
      <c r="AE198" s="72"/>
      <c r="AF198" s="72"/>
      <c r="AG198" s="74" t="str">
        <f aca="false">IFERROR(IF(AE198="","",AE198*AF198),"")</f>
        <v/>
      </c>
      <c r="AH198" s="72"/>
      <c r="AI198" s="72"/>
      <c r="AJ198" s="74" t="str">
        <f aca="false">IFERROR(IF(AH198="","",AH198*AI198),"")</f>
        <v/>
      </c>
      <c r="AK198" s="72"/>
      <c r="AL198" s="72"/>
      <c r="AM198" s="74" t="str">
        <f aca="false">IFERROR(IF(AK198="","",AK198*AL198),"")</f>
        <v/>
      </c>
      <c r="AN198" s="72"/>
    </row>
    <row r="199" customFormat="false" ht="15.75" hidden="false" customHeight="true" outlineLevel="0" collapsed="false">
      <c r="A199" s="62" t="n">
        <v>192</v>
      </c>
      <c r="B199" s="75"/>
      <c r="C199" s="76"/>
      <c r="D199" s="75"/>
      <c r="E199" s="75"/>
      <c r="F199" s="77" t="str">
        <f aca="false">IFERROR(IF(D199="","",D199*E199),"")</f>
        <v/>
      </c>
      <c r="G199" s="75"/>
      <c r="H199" s="75"/>
      <c r="I199" s="77" t="str">
        <f aca="false">IFERROR(IF(G199="","",G199*H199),"")</f>
        <v/>
      </c>
      <c r="J199" s="75"/>
      <c r="K199" s="75"/>
      <c r="L199" s="77" t="str">
        <f aca="false">IFERROR(IF(J199="","",J199*K199),"")</f>
        <v/>
      </c>
      <c r="M199" s="75"/>
      <c r="N199" s="75"/>
      <c r="O199" s="77" t="str">
        <f aca="false">IFERROR(IF(M199="","",M199*N199),"")</f>
        <v/>
      </c>
      <c r="P199" s="75"/>
      <c r="Q199" s="75"/>
      <c r="R199" s="77" t="str">
        <f aca="false">IFERROR(IF(P199="","",P199*Q199),"")</f>
        <v/>
      </c>
      <c r="S199" s="75"/>
      <c r="T199" s="75"/>
      <c r="U199" s="77" t="str">
        <f aca="false">IFERROR(IF(S199="","",S199*T199),"")</f>
        <v/>
      </c>
      <c r="V199" s="75"/>
      <c r="W199" s="75"/>
      <c r="X199" s="77" t="str">
        <f aca="false">IFERROR(IF(V199="","",V199*W199),"")</f>
        <v/>
      </c>
      <c r="Y199" s="75"/>
      <c r="Z199" s="75"/>
      <c r="AA199" s="77" t="str">
        <f aca="false">IFERROR(IF(Y199="","",Y199*Z199),"")</f>
        <v/>
      </c>
      <c r="AB199" s="75"/>
      <c r="AC199" s="75"/>
      <c r="AD199" s="77" t="str">
        <f aca="false">IFERROR(IF(AB199="","",AB199*AC199),"")</f>
        <v/>
      </c>
      <c r="AE199" s="75"/>
      <c r="AF199" s="75"/>
      <c r="AG199" s="77" t="str">
        <f aca="false">IFERROR(IF(AE199="","",AE199*AF199),"")</f>
        <v/>
      </c>
      <c r="AH199" s="75"/>
      <c r="AI199" s="75"/>
      <c r="AJ199" s="77" t="str">
        <f aca="false">IFERROR(IF(AH199="","",AH199*AI199),"")</f>
        <v/>
      </c>
      <c r="AK199" s="75"/>
      <c r="AL199" s="75"/>
      <c r="AM199" s="77" t="str">
        <f aca="false">IFERROR(IF(AK199="","",AK199*AL199),"")</f>
        <v/>
      </c>
      <c r="AN199" s="75"/>
    </row>
    <row r="200" customFormat="false" ht="15.75" hidden="false" customHeight="true" outlineLevel="0" collapsed="false">
      <c r="A200" s="60" t="n">
        <v>193</v>
      </c>
      <c r="B200" s="72"/>
      <c r="C200" s="73"/>
      <c r="D200" s="72"/>
      <c r="E200" s="72"/>
      <c r="F200" s="74" t="str">
        <f aca="false">IFERROR(IF(D200="","",D200*E200),"")</f>
        <v/>
      </c>
      <c r="G200" s="72"/>
      <c r="H200" s="72"/>
      <c r="I200" s="74" t="str">
        <f aca="false">IFERROR(IF(G200="","",G200*H200),"")</f>
        <v/>
      </c>
      <c r="J200" s="72"/>
      <c r="K200" s="72"/>
      <c r="L200" s="74" t="str">
        <f aca="false">IFERROR(IF(J200="","",J200*K200),"")</f>
        <v/>
      </c>
      <c r="M200" s="72"/>
      <c r="N200" s="72"/>
      <c r="O200" s="74" t="str">
        <f aca="false">IFERROR(IF(M200="","",M200*N200),"")</f>
        <v/>
      </c>
      <c r="P200" s="72"/>
      <c r="Q200" s="72"/>
      <c r="R200" s="74" t="str">
        <f aca="false">IFERROR(IF(P200="","",P200*Q200),"")</f>
        <v/>
      </c>
      <c r="S200" s="72"/>
      <c r="T200" s="72"/>
      <c r="U200" s="74" t="str">
        <f aca="false">IFERROR(IF(S200="","",S200*T200),"")</f>
        <v/>
      </c>
      <c r="V200" s="72"/>
      <c r="W200" s="72"/>
      <c r="X200" s="74" t="str">
        <f aca="false">IFERROR(IF(V200="","",V200*W200),"")</f>
        <v/>
      </c>
      <c r="Y200" s="72"/>
      <c r="Z200" s="72"/>
      <c r="AA200" s="74" t="str">
        <f aca="false">IFERROR(IF(Y200="","",Y200*Z200),"")</f>
        <v/>
      </c>
      <c r="AB200" s="72"/>
      <c r="AC200" s="72"/>
      <c r="AD200" s="74" t="str">
        <f aca="false">IFERROR(IF(AB200="","",AB200*AC200),"")</f>
        <v/>
      </c>
      <c r="AE200" s="72"/>
      <c r="AF200" s="72"/>
      <c r="AG200" s="74" t="str">
        <f aca="false">IFERROR(IF(AE200="","",AE200*AF200),"")</f>
        <v/>
      </c>
      <c r="AH200" s="72"/>
      <c r="AI200" s="72"/>
      <c r="AJ200" s="74" t="str">
        <f aca="false">IFERROR(IF(AH200="","",AH200*AI200),"")</f>
        <v/>
      </c>
      <c r="AK200" s="72"/>
      <c r="AL200" s="72"/>
      <c r="AM200" s="74" t="str">
        <f aca="false">IFERROR(IF(AK200="","",AK200*AL200),"")</f>
        <v/>
      </c>
      <c r="AN200" s="72"/>
    </row>
    <row r="201" customFormat="false" ht="15.75" hidden="false" customHeight="true" outlineLevel="0" collapsed="false">
      <c r="A201" s="62" t="n">
        <v>194</v>
      </c>
      <c r="B201" s="75"/>
      <c r="C201" s="76"/>
      <c r="D201" s="75"/>
      <c r="E201" s="75"/>
      <c r="F201" s="77" t="str">
        <f aca="false">IFERROR(IF(D201="","",D201*E201),"")</f>
        <v/>
      </c>
      <c r="G201" s="75"/>
      <c r="H201" s="75"/>
      <c r="I201" s="77" t="str">
        <f aca="false">IFERROR(IF(G201="","",G201*H201),"")</f>
        <v/>
      </c>
      <c r="J201" s="75"/>
      <c r="K201" s="75"/>
      <c r="L201" s="77" t="str">
        <f aca="false">IFERROR(IF(J201="","",J201*K201),"")</f>
        <v/>
      </c>
      <c r="M201" s="75"/>
      <c r="N201" s="75"/>
      <c r="O201" s="77" t="str">
        <f aca="false">IFERROR(IF(M201="","",M201*N201),"")</f>
        <v/>
      </c>
      <c r="P201" s="75"/>
      <c r="Q201" s="75"/>
      <c r="R201" s="77" t="str">
        <f aca="false">IFERROR(IF(P201="","",P201*Q201),"")</f>
        <v/>
      </c>
      <c r="S201" s="75"/>
      <c r="T201" s="75"/>
      <c r="U201" s="77" t="str">
        <f aca="false">IFERROR(IF(S201="","",S201*T201),"")</f>
        <v/>
      </c>
      <c r="V201" s="75"/>
      <c r="W201" s="75"/>
      <c r="X201" s="77" t="str">
        <f aca="false">IFERROR(IF(V201="","",V201*W201),"")</f>
        <v/>
      </c>
      <c r="Y201" s="75"/>
      <c r="Z201" s="75"/>
      <c r="AA201" s="77" t="str">
        <f aca="false">IFERROR(IF(Y201="","",Y201*Z201),"")</f>
        <v/>
      </c>
      <c r="AB201" s="75"/>
      <c r="AC201" s="75"/>
      <c r="AD201" s="77" t="str">
        <f aca="false">IFERROR(IF(AB201="","",AB201*AC201),"")</f>
        <v/>
      </c>
      <c r="AE201" s="75"/>
      <c r="AF201" s="75"/>
      <c r="AG201" s="77" t="str">
        <f aca="false">IFERROR(IF(AE201="","",AE201*AF201),"")</f>
        <v/>
      </c>
      <c r="AH201" s="75"/>
      <c r="AI201" s="75"/>
      <c r="AJ201" s="77" t="str">
        <f aca="false">IFERROR(IF(AH201="","",AH201*AI201),"")</f>
        <v/>
      </c>
      <c r="AK201" s="75"/>
      <c r="AL201" s="75"/>
      <c r="AM201" s="77" t="str">
        <f aca="false">IFERROR(IF(AK201="","",AK201*AL201),"")</f>
        <v/>
      </c>
      <c r="AN201" s="75"/>
    </row>
    <row r="202" customFormat="false" ht="15.75" hidden="false" customHeight="true" outlineLevel="0" collapsed="false">
      <c r="A202" s="60" t="n">
        <v>195</v>
      </c>
      <c r="B202" s="72"/>
      <c r="C202" s="73"/>
      <c r="D202" s="72"/>
      <c r="E202" s="72"/>
      <c r="F202" s="74" t="str">
        <f aca="false">IFERROR(IF(D202="","",D202*E202),"")</f>
        <v/>
      </c>
      <c r="G202" s="72"/>
      <c r="H202" s="72"/>
      <c r="I202" s="74" t="str">
        <f aca="false">IFERROR(IF(G202="","",G202*H202),"")</f>
        <v/>
      </c>
      <c r="J202" s="72"/>
      <c r="K202" s="72"/>
      <c r="L202" s="74" t="str">
        <f aca="false">IFERROR(IF(J202="","",J202*K202),"")</f>
        <v/>
      </c>
      <c r="M202" s="72"/>
      <c r="N202" s="72"/>
      <c r="O202" s="74" t="str">
        <f aca="false">IFERROR(IF(M202="","",M202*N202),"")</f>
        <v/>
      </c>
      <c r="P202" s="72"/>
      <c r="Q202" s="72"/>
      <c r="R202" s="74" t="str">
        <f aca="false">IFERROR(IF(P202="","",P202*Q202),"")</f>
        <v/>
      </c>
      <c r="S202" s="72"/>
      <c r="T202" s="72"/>
      <c r="U202" s="74" t="str">
        <f aca="false">IFERROR(IF(S202="","",S202*T202),"")</f>
        <v/>
      </c>
      <c r="V202" s="72"/>
      <c r="W202" s="72"/>
      <c r="X202" s="74" t="str">
        <f aca="false">IFERROR(IF(V202="","",V202*W202),"")</f>
        <v/>
      </c>
      <c r="Y202" s="72"/>
      <c r="Z202" s="72"/>
      <c r="AA202" s="74" t="str">
        <f aca="false">IFERROR(IF(Y202="","",Y202*Z202),"")</f>
        <v/>
      </c>
      <c r="AB202" s="72"/>
      <c r="AC202" s="72"/>
      <c r="AD202" s="74" t="str">
        <f aca="false">IFERROR(IF(AB202="","",AB202*AC202),"")</f>
        <v/>
      </c>
      <c r="AE202" s="72"/>
      <c r="AF202" s="72"/>
      <c r="AG202" s="74" t="str">
        <f aca="false">IFERROR(IF(AE202="","",AE202*AF202),"")</f>
        <v/>
      </c>
      <c r="AH202" s="72"/>
      <c r="AI202" s="72"/>
      <c r="AJ202" s="74" t="str">
        <f aca="false">IFERROR(IF(AH202="","",AH202*AI202),"")</f>
        <v/>
      </c>
      <c r="AK202" s="72"/>
      <c r="AL202" s="72"/>
      <c r="AM202" s="74" t="str">
        <f aca="false">IFERROR(IF(AK202="","",AK202*AL202),"")</f>
        <v/>
      </c>
      <c r="AN202" s="72"/>
    </row>
    <row r="203" customFormat="false" ht="15.75" hidden="false" customHeight="true" outlineLevel="0" collapsed="false">
      <c r="A203" s="62" t="n">
        <v>196</v>
      </c>
      <c r="B203" s="75"/>
      <c r="C203" s="76"/>
      <c r="D203" s="75"/>
      <c r="E203" s="75"/>
      <c r="F203" s="77" t="str">
        <f aca="false">IFERROR(IF(D203="","",D203*E203),"")</f>
        <v/>
      </c>
      <c r="G203" s="75"/>
      <c r="H203" s="75"/>
      <c r="I203" s="77" t="str">
        <f aca="false">IFERROR(IF(G203="","",G203*H203),"")</f>
        <v/>
      </c>
      <c r="J203" s="75"/>
      <c r="K203" s="75"/>
      <c r="L203" s="77" t="str">
        <f aca="false">IFERROR(IF(J203="","",J203*K203),"")</f>
        <v/>
      </c>
      <c r="M203" s="75"/>
      <c r="N203" s="75"/>
      <c r="O203" s="77" t="str">
        <f aca="false">IFERROR(IF(M203="","",M203*N203),"")</f>
        <v/>
      </c>
      <c r="P203" s="75"/>
      <c r="Q203" s="75"/>
      <c r="R203" s="77" t="str">
        <f aca="false">IFERROR(IF(P203="","",P203*Q203),"")</f>
        <v/>
      </c>
      <c r="S203" s="75"/>
      <c r="T203" s="75"/>
      <c r="U203" s="77" t="str">
        <f aca="false">IFERROR(IF(S203="","",S203*T203),"")</f>
        <v/>
      </c>
      <c r="V203" s="75"/>
      <c r="W203" s="75"/>
      <c r="X203" s="77" t="str">
        <f aca="false">IFERROR(IF(V203="","",V203*W203),"")</f>
        <v/>
      </c>
      <c r="Y203" s="75"/>
      <c r="Z203" s="75"/>
      <c r="AA203" s="77" t="str">
        <f aca="false">IFERROR(IF(Y203="","",Y203*Z203),"")</f>
        <v/>
      </c>
      <c r="AB203" s="75"/>
      <c r="AC203" s="75"/>
      <c r="AD203" s="77" t="str">
        <f aca="false">IFERROR(IF(AB203="","",AB203*AC203),"")</f>
        <v/>
      </c>
      <c r="AE203" s="75"/>
      <c r="AF203" s="75"/>
      <c r="AG203" s="77" t="str">
        <f aca="false">IFERROR(IF(AE203="","",AE203*AF203),"")</f>
        <v/>
      </c>
      <c r="AH203" s="75"/>
      <c r="AI203" s="75"/>
      <c r="AJ203" s="77" t="str">
        <f aca="false">IFERROR(IF(AH203="","",AH203*AI203),"")</f>
        <v/>
      </c>
      <c r="AK203" s="75"/>
      <c r="AL203" s="75"/>
      <c r="AM203" s="77" t="str">
        <f aca="false">IFERROR(IF(AK203="","",AK203*AL203),"")</f>
        <v/>
      </c>
      <c r="AN203" s="75"/>
    </row>
    <row r="204" customFormat="false" ht="15.75" hidden="false" customHeight="true" outlineLevel="0" collapsed="false">
      <c r="A204" s="60" t="n">
        <v>197</v>
      </c>
      <c r="B204" s="72"/>
      <c r="C204" s="73"/>
      <c r="D204" s="72"/>
      <c r="E204" s="72"/>
      <c r="F204" s="74" t="str">
        <f aca="false">IFERROR(IF(D204="","",D204*E204),"")</f>
        <v/>
      </c>
      <c r="G204" s="72"/>
      <c r="H204" s="72"/>
      <c r="I204" s="74" t="str">
        <f aca="false">IFERROR(IF(G204="","",G204*H204),"")</f>
        <v/>
      </c>
      <c r="J204" s="72"/>
      <c r="K204" s="72"/>
      <c r="L204" s="74" t="str">
        <f aca="false">IFERROR(IF(J204="","",J204*K204),"")</f>
        <v/>
      </c>
      <c r="M204" s="72"/>
      <c r="N204" s="72"/>
      <c r="O204" s="74" t="str">
        <f aca="false">IFERROR(IF(M204="","",M204*N204),"")</f>
        <v/>
      </c>
      <c r="P204" s="72"/>
      <c r="Q204" s="72"/>
      <c r="R204" s="74" t="str">
        <f aca="false">IFERROR(IF(P204="","",P204*Q204),"")</f>
        <v/>
      </c>
      <c r="S204" s="72"/>
      <c r="T204" s="72"/>
      <c r="U204" s="74" t="str">
        <f aca="false">IFERROR(IF(S204="","",S204*T204),"")</f>
        <v/>
      </c>
      <c r="V204" s="72"/>
      <c r="W204" s="72"/>
      <c r="X204" s="74" t="str">
        <f aca="false">IFERROR(IF(V204="","",V204*W204),"")</f>
        <v/>
      </c>
      <c r="Y204" s="72"/>
      <c r="Z204" s="72"/>
      <c r="AA204" s="74" t="str">
        <f aca="false">IFERROR(IF(Y204="","",Y204*Z204),"")</f>
        <v/>
      </c>
      <c r="AB204" s="72"/>
      <c r="AC204" s="72"/>
      <c r="AD204" s="74" t="str">
        <f aca="false">IFERROR(IF(AB204="","",AB204*AC204),"")</f>
        <v/>
      </c>
      <c r="AE204" s="72"/>
      <c r="AF204" s="72"/>
      <c r="AG204" s="74" t="str">
        <f aca="false">IFERROR(IF(AE204="","",AE204*AF204),"")</f>
        <v/>
      </c>
      <c r="AH204" s="72"/>
      <c r="AI204" s="72"/>
      <c r="AJ204" s="74" t="str">
        <f aca="false">IFERROR(IF(AH204="","",AH204*AI204),"")</f>
        <v/>
      </c>
      <c r="AK204" s="72"/>
      <c r="AL204" s="72"/>
      <c r="AM204" s="74" t="str">
        <f aca="false">IFERROR(IF(AK204="","",AK204*AL204),"")</f>
        <v/>
      </c>
      <c r="AN204" s="72"/>
    </row>
    <row r="205" customFormat="false" ht="15.75" hidden="false" customHeight="true" outlineLevel="0" collapsed="false">
      <c r="A205" s="62" t="n">
        <v>198</v>
      </c>
      <c r="B205" s="75"/>
      <c r="C205" s="76"/>
      <c r="D205" s="75"/>
      <c r="E205" s="75"/>
      <c r="F205" s="77" t="str">
        <f aca="false">IFERROR(IF(D205="","",D205*E205),"")</f>
        <v/>
      </c>
      <c r="G205" s="75"/>
      <c r="H205" s="75"/>
      <c r="I205" s="77" t="str">
        <f aca="false">IFERROR(IF(G205="","",G205*H205),"")</f>
        <v/>
      </c>
      <c r="J205" s="75"/>
      <c r="K205" s="75"/>
      <c r="L205" s="77" t="str">
        <f aca="false">IFERROR(IF(J205="","",J205*K205),"")</f>
        <v/>
      </c>
      <c r="M205" s="75"/>
      <c r="N205" s="75"/>
      <c r="O205" s="77" t="str">
        <f aca="false">IFERROR(IF(M205="","",M205*N205),"")</f>
        <v/>
      </c>
      <c r="P205" s="75"/>
      <c r="Q205" s="75"/>
      <c r="R205" s="77" t="str">
        <f aca="false">IFERROR(IF(P205="","",P205*Q205),"")</f>
        <v/>
      </c>
      <c r="S205" s="75"/>
      <c r="T205" s="75"/>
      <c r="U205" s="77" t="str">
        <f aca="false">IFERROR(IF(S205="","",S205*T205),"")</f>
        <v/>
      </c>
      <c r="V205" s="75"/>
      <c r="W205" s="75"/>
      <c r="X205" s="77" t="str">
        <f aca="false">IFERROR(IF(V205="","",V205*W205),"")</f>
        <v/>
      </c>
      <c r="Y205" s="75"/>
      <c r="Z205" s="75"/>
      <c r="AA205" s="77" t="str">
        <f aca="false">IFERROR(IF(Y205="","",Y205*Z205),"")</f>
        <v/>
      </c>
      <c r="AB205" s="75"/>
      <c r="AC205" s="75"/>
      <c r="AD205" s="77" t="str">
        <f aca="false">IFERROR(IF(AB205="","",AB205*AC205),"")</f>
        <v/>
      </c>
      <c r="AE205" s="75"/>
      <c r="AF205" s="75"/>
      <c r="AG205" s="77" t="str">
        <f aca="false">IFERROR(IF(AE205="","",AE205*AF205),"")</f>
        <v/>
      </c>
      <c r="AH205" s="75"/>
      <c r="AI205" s="75"/>
      <c r="AJ205" s="77" t="str">
        <f aca="false">IFERROR(IF(AH205="","",AH205*AI205),"")</f>
        <v/>
      </c>
      <c r="AK205" s="75"/>
      <c r="AL205" s="75"/>
      <c r="AM205" s="77" t="str">
        <f aca="false">IFERROR(IF(AK205="","",AK205*AL205),"")</f>
        <v/>
      </c>
      <c r="AN205" s="75"/>
    </row>
    <row r="206" customFormat="false" ht="15.75" hidden="false" customHeight="true" outlineLevel="0" collapsed="false">
      <c r="A206" s="60" t="n">
        <v>199</v>
      </c>
      <c r="B206" s="72"/>
      <c r="C206" s="73"/>
      <c r="D206" s="72"/>
      <c r="E206" s="72"/>
      <c r="F206" s="74" t="str">
        <f aca="false">IFERROR(IF(D206="","",D206*E206),"")</f>
        <v/>
      </c>
      <c r="G206" s="72"/>
      <c r="H206" s="72"/>
      <c r="I206" s="74" t="str">
        <f aca="false">IFERROR(IF(G206="","",G206*H206),"")</f>
        <v/>
      </c>
      <c r="J206" s="72"/>
      <c r="K206" s="72"/>
      <c r="L206" s="74" t="str">
        <f aca="false">IFERROR(IF(J206="","",J206*K206),"")</f>
        <v/>
      </c>
      <c r="M206" s="72"/>
      <c r="N206" s="72"/>
      <c r="O206" s="74" t="str">
        <f aca="false">IFERROR(IF(M206="","",M206*N206),"")</f>
        <v/>
      </c>
      <c r="P206" s="72"/>
      <c r="Q206" s="72"/>
      <c r="R206" s="74" t="str">
        <f aca="false">IFERROR(IF(P206="","",P206*Q206),"")</f>
        <v/>
      </c>
      <c r="S206" s="72"/>
      <c r="T206" s="72"/>
      <c r="U206" s="74" t="str">
        <f aca="false">IFERROR(IF(S206="","",S206*T206),"")</f>
        <v/>
      </c>
      <c r="V206" s="72"/>
      <c r="W206" s="72"/>
      <c r="X206" s="74" t="str">
        <f aca="false">IFERROR(IF(V206="","",V206*W206),"")</f>
        <v/>
      </c>
      <c r="Y206" s="72"/>
      <c r="Z206" s="72"/>
      <c r="AA206" s="74" t="str">
        <f aca="false">IFERROR(IF(Y206="","",Y206*Z206),"")</f>
        <v/>
      </c>
      <c r="AB206" s="72"/>
      <c r="AC206" s="72"/>
      <c r="AD206" s="74" t="str">
        <f aca="false">IFERROR(IF(AB206="","",AB206*AC206),"")</f>
        <v/>
      </c>
      <c r="AE206" s="72"/>
      <c r="AF206" s="72"/>
      <c r="AG206" s="74" t="str">
        <f aca="false">IFERROR(IF(AE206="","",AE206*AF206),"")</f>
        <v/>
      </c>
      <c r="AH206" s="72"/>
      <c r="AI206" s="72"/>
      <c r="AJ206" s="74" t="str">
        <f aca="false">IFERROR(IF(AH206="","",AH206*AI206),"")</f>
        <v/>
      </c>
      <c r="AK206" s="72"/>
      <c r="AL206" s="72"/>
      <c r="AM206" s="74" t="str">
        <f aca="false">IFERROR(IF(AK206="","",AK206*AL206),"")</f>
        <v/>
      </c>
      <c r="AN206" s="72"/>
    </row>
    <row r="207" customFormat="false" ht="15.75" hidden="false" customHeight="true" outlineLevel="0" collapsed="false">
      <c r="A207" s="62" t="n">
        <v>200</v>
      </c>
      <c r="B207" s="75"/>
      <c r="C207" s="76"/>
      <c r="D207" s="75"/>
      <c r="E207" s="75"/>
      <c r="F207" s="77" t="str">
        <f aca="false">IFERROR(IF(D207="","",D207*E207),"")</f>
        <v/>
      </c>
      <c r="G207" s="75"/>
      <c r="H207" s="75"/>
      <c r="I207" s="77" t="str">
        <f aca="false">IFERROR(IF(G207="","",G207*H207),"")</f>
        <v/>
      </c>
      <c r="J207" s="75"/>
      <c r="K207" s="75"/>
      <c r="L207" s="77" t="str">
        <f aca="false">IFERROR(IF(J207="","",J207*K207),"")</f>
        <v/>
      </c>
      <c r="M207" s="75"/>
      <c r="N207" s="75"/>
      <c r="O207" s="77" t="str">
        <f aca="false">IFERROR(IF(M207="","",M207*N207),"")</f>
        <v/>
      </c>
      <c r="P207" s="75"/>
      <c r="Q207" s="75"/>
      <c r="R207" s="77" t="str">
        <f aca="false">IFERROR(IF(P207="","",P207*Q207),"")</f>
        <v/>
      </c>
      <c r="S207" s="75"/>
      <c r="T207" s="75"/>
      <c r="U207" s="77" t="str">
        <f aca="false">IFERROR(IF(S207="","",S207*T207),"")</f>
        <v/>
      </c>
      <c r="V207" s="75"/>
      <c r="W207" s="75"/>
      <c r="X207" s="77" t="str">
        <f aca="false">IFERROR(IF(V207="","",V207*W207),"")</f>
        <v/>
      </c>
      <c r="Y207" s="75"/>
      <c r="Z207" s="75"/>
      <c r="AA207" s="77" t="str">
        <f aca="false">IFERROR(IF(Y207="","",Y207*Z207),"")</f>
        <v/>
      </c>
      <c r="AB207" s="75"/>
      <c r="AC207" s="75"/>
      <c r="AD207" s="77" t="str">
        <f aca="false">IFERROR(IF(AB207="","",AB207*AC207),"")</f>
        <v/>
      </c>
      <c r="AE207" s="75"/>
      <c r="AF207" s="75"/>
      <c r="AG207" s="77" t="str">
        <f aca="false">IFERROR(IF(AE207="","",AE207*AF207),"")</f>
        <v/>
      </c>
      <c r="AH207" s="75"/>
      <c r="AI207" s="75"/>
      <c r="AJ207" s="77" t="str">
        <f aca="false">IFERROR(IF(AH207="","",AH207*AI207),"")</f>
        <v/>
      </c>
      <c r="AK207" s="75"/>
      <c r="AL207" s="75"/>
      <c r="AM207" s="77" t="str">
        <f aca="false">IFERROR(IF(AK207="","",AK207*AL207),"")</f>
        <v/>
      </c>
      <c r="AN207" s="75"/>
    </row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4.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customFormat="false" ht="19.5" hidden="false" customHeight="true" outlineLevel="0" collapsed="false">
      <c r="A211" s="24" t="s">
        <v>27</v>
      </c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</row>
  </sheetData>
  <mergeCells count="18">
    <mergeCell ref="A1:AN1"/>
    <mergeCell ref="A2:AN2"/>
    <mergeCell ref="A3:AN3"/>
    <mergeCell ref="A4:AN4"/>
    <mergeCell ref="D6:F6"/>
    <mergeCell ref="G6:I6"/>
    <mergeCell ref="J6:L6"/>
    <mergeCell ref="M6:O6"/>
    <mergeCell ref="P6:R6"/>
    <mergeCell ref="S6:U6"/>
    <mergeCell ref="V6:X6"/>
    <mergeCell ref="Y6:AA6"/>
    <mergeCell ref="AB6:AD6"/>
    <mergeCell ref="AE6:AG6"/>
    <mergeCell ref="AH6:AJ6"/>
    <mergeCell ref="AK6:AM6"/>
    <mergeCell ref="A210:AN210"/>
    <mergeCell ref="A211:AN2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441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2.8" customHeight="false" zeroHeight="false" outlineLevelRow="0" outlineLevelCol="0"/>
  <sheetData>
    <row r="1" customFormat="false" ht="36" hidden="false" customHeight="true" outlineLevel="0" collapsed="false">
      <c r="A1" s="1" t="s">
        <v>127</v>
      </c>
      <c r="B1" s="1"/>
      <c r="C1" s="1"/>
      <c r="D1" s="1"/>
      <c r="E1" s="1"/>
      <c r="F1" s="1"/>
    </row>
    <row r="2" customFormat="false" ht="4.5" hidden="false" customHeight="true" outlineLevel="0" collapsed="false">
      <c r="A2" s="2"/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27.75" hidden="false" customHeight="true" outlineLevel="0" collapsed="false">
      <c r="A4" s="7" t="s">
        <v>128</v>
      </c>
      <c r="B4" s="7"/>
      <c r="C4" s="7"/>
      <c r="D4" s="7"/>
      <c r="E4" s="7"/>
      <c r="F4" s="7"/>
    </row>
    <row r="5" customFormat="false" ht="3.75" hidden="false" customHeight="true" outlineLevel="0" collapsed="false"/>
    <row r="6" customFormat="false" ht="12.8" hidden="false" customHeight="false" outlineLevel="0" collapsed="false">
      <c r="A6" s="78" t="s">
        <v>129</v>
      </c>
      <c r="B6" s="78" t="s">
        <v>104</v>
      </c>
      <c r="C6" s="78" t="s">
        <v>130</v>
      </c>
      <c r="D6" s="78" t="s">
        <v>131</v>
      </c>
      <c r="E6" s="78" t="s">
        <v>132</v>
      </c>
      <c r="F6" s="78" t="s">
        <v>115</v>
      </c>
    </row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4.5" hidden="false" customHeight="true" outlineLevel="0" collapsed="false">
      <c r="A11" s="2"/>
      <c r="B11" s="2"/>
      <c r="C11" s="2"/>
      <c r="D11" s="2"/>
      <c r="E11" s="2"/>
      <c r="F11" s="2"/>
    </row>
    <row r="12" customFormat="false" ht="19.5" hidden="false" customHeight="true" outlineLevel="0" collapsed="false">
      <c r="A12" s="24" t="s">
        <v>27</v>
      </c>
      <c r="B12" s="24"/>
      <c r="C12" s="24"/>
      <c r="D12" s="24"/>
      <c r="E12" s="24"/>
      <c r="F12" s="24"/>
    </row>
  </sheetData>
  <mergeCells count="6">
    <mergeCell ref="A1:F1"/>
    <mergeCell ref="A2:F2"/>
    <mergeCell ref="A3:F3"/>
    <mergeCell ref="A4:F4"/>
    <mergeCell ref="A11:F11"/>
    <mergeCell ref="A12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2026-03-17T08:23:38Z</dcterms:created>
  <dc:creator>openpyxl</dc:creator>
  <dc:description/>
  <dc:language>en-US</dc:language>
  <cp:lastModifiedBy/>
  <dcterms:modified xsi:type="dcterms:W3CDTF">2026-04-03T08:58:04Z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